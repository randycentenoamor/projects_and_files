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Randy\Downloads\Symmetrical Components Calculator\"/>
    </mc:Choice>
  </mc:AlternateContent>
  <xr:revisionPtr revIDLastSave="0" documentId="13_ncr:1_{A1E2C1C9-A35B-46F4-871A-6DA0C7B90CED}" xr6:coauthVersionLast="47" xr6:coauthVersionMax="47" xr10:uidLastSave="{00000000-0000-0000-0000-000000000000}"/>
  <bookViews>
    <workbookView xWindow="4020" yWindow="1620" windowWidth="18864" windowHeight="10464" xr2:uid="{00000000-000D-0000-FFFF-FFFF00000000}"/>
  </bookViews>
  <sheets>
    <sheet name="Instructions" sheetId="4" r:id="rId1"/>
    <sheet name="Phase to Symm Comp" sheetId="1" r:id="rId2"/>
    <sheet name="Symm Comp to Phase" sheetId="2" r:id="rId3"/>
    <sheet name="Sheet3" sheetId="3" state="hidden"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6" i="4" l="1"/>
  <c r="B16" i="4"/>
  <c r="J7" i="1"/>
  <c r="B7" i="1"/>
  <c r="K2" i="2"/>
  <c r="K2" i="1"/>
  <c r="F9" i="2"/>
  <c r="F8" i="2"/>
  <c r="F7" i="2"/>
  <c r="J12" i="2"/>
  <c r="J11" i="2"/>
  <c r="J10" i="2"/>
  <c r="J9" i="2"/>
  <c r="J8" i="2"/>
  <c r="J7" i="2"/>
  <c r="B9" i="2"/>
  <c r="B8" i="2"/>
  <c r="B7" i="2"/>
  <c r="J12" i="1"/>
  <c r="J11" i="1"/>
  <c r="J10" i="1"/>
  <c r="F9" i="1"/>
  <c r="F8" i="1"/>
  <c r="F7" i="1"/>
  <c r="B8" i="1"/>
  <c r="J8" i="1"/>
  <c r="J9" i="1"/>
  <c r="B9" i="1"/>
  <c r="E16" i="2"/>
  <c r="E18" i="2"/>
  <c r="E17" i="2"/>
  <c r="L11" i="2" s="1"/>
  <c r="C38" i="2" s="1"/>
  <c r="C66" i="1"/>
  <c r="E66" i="1" s="1"/>
  <c r="M68" i="1"/>
  <c r="O68" i="1" s="1"/>
  <c r="M66" i="1"/>
  <c r="O66" i="1" s="1"/>
  <c r="H68" i="1"/>
  <c r="J68" i="1" s="1"/>
  <c r="H66" i="1"/>
  <c r="I66" i="1" s="1"/>
  <c r="C68" i="1"/>
  <c r="D68" i="1" s="1"/>
  <c r="E25" i="1"/>
  <c r="E29" i="1" l="1"/>
  <c r="G8" i="1" s="1"/>
  <c r="E27" i="1"/>
  <c r="G9" i="1" s="1"/>
  <c r="C31" i="2"/>
  <c r="C30" i="2"/>
  <c r="E14" i="2" s="1"/>
  <c r="C29" i="2"/>
  <c r="E13" i="2" s="1"/>
  <c r="K10" i="2"/>
  <c r="B37" i="2" s="1"/>
  <c r="L10" i="2"/>
  <c r="C37" i="2" s="1"/>
  <c r="K12" i="2"/>
  <c r="B39" i="2" s="1"/>
  <c r="L12" i="2"/>
  <c r="C39" i="2" s="1"/>
  <c r="K11" i="2"/>
  <c r="B38" i="2" s="1"/>
  <c r="N66" i="1"/>
  <c r="D66" i="1"/>
  <c r="E68" i="1"/>
  <c r="J66" i="1"/>
  <c r="I68" i="1"/>
  <c r="N68" i="1"/>
  <c r="L8" i="1"/>
  <c r="D52" i="1" s="1"/>
  <c r="K8" i="1"/>
  <c r="C52" i="1" s="1"/>
  <c r="E24" i="1"/>
  <c r="E26" i="1"/>
  <c r="E15" i="2" l="1"/>
  <c r="G7" i="2"/>
  <c r="K7" i="2"/>
  <c r="B34" i="2" s="1"/>
  <c r="L7" i="2"/>
  <c r="C34" i="2" s="1"/>
  <c r="H7" i="2"/>
  <c r="M67" i="1"/>
  <c r="H67" i="1"/>
  <c r="C67" i="1"/>
  <c r="K10" i="1"/>
  <c r="C54" i="1" s="1"/>
  <c r="L10" i="1"/>
  <c r="D54" i="1" s="1"/>
  <c r="L12" i="1"/>
  <c r="D56" i="1" s="1"/>
  <c r="K12" i="1"/>
  <c r="C56" i="1" s="1"/>
  <c r="L9" i="1"/>
  <c r="D53" i="1" s="1"/>
  <c r="L7" i="1"/>
  <c r="D51" i="1" s="1"/>
  <c r="H9" i="1"/>
  <c r="H8" i="1"/>
  <c r="K9" i="1"/>
  <c r="C53" i="1" s="1"/>
  <c r="K7" i="1"/>
  <c r="C51" i="1" s="1"/>
  <c r="E28" i="1" l="1"/>
  <c r="G7" i="1" s="1"/>
  <c r="H8" i="2"/>
  <c r="L8" i="2"/>
  <c r="C35" i="2" s="1"/>
  <c r="G8" i="2"/>
  <c r="K8" i="2"/>
  <c r="B35" i="2" s="1"/>
  <c r="G9" i="2"/>
  <c r="K9" i="2"/>
  <c r="B36" i="2" s="1"/>
  <c r="H9" i="2"/>
  <c r="L9" i="2"/>
  <c r="C36" i="2" s="1"/>
  <c r="E67" i="1"/>
  <c r="D67" i="1"/>
  <c r="N67" i="1"/>
  <c r="O67" i="1"/>
  <c r="I67" i="1"/>
  <c r="J67" i="1"/>
  <c r="H7" i="1" l="1"/>
  <c r="L11" i="1"/>
  <c r="D55" i="1" s="1"/>
  <c r="K11" i="1"/>
  <c r="C55" i="1" s="1"/>
</calcChain>
</file>

<file path=xl/sharedStrings.xml><?xml version="1.0" encoding="utf-8"?>
<sst xmlns="http://schemas.openxmlformats.org/spreadsheetml/2006/main" count="85" uniqueCount="41">
  <si>
    <t>Magnitude</t>
  </si>
  <si>
    <t>Angle</t>
  </si>
  <si>
    <t>Ia</t>
  </si>
  <si>
    <t>Ib</t>
  </si>
  <si>
    <t>Ic</t>
  </si>
  <si>
    <t>3I2</t>
  </si>
  <si>
    <t>3I0</t>
  </si>
  <si>
    <t>3I1</t>
  </si>
  <si>
    <t>Real</t>
  </si>
  <si>
    <t>Im</t>
  </si>
  <si>
    <t>A-Base</t>
  </si>
  <si>
    <t>B-Base</t>
  </si>
  <si>
    <t>C-Base</t>
  </si>
  <si>
    <t>Instructions:</t>
  </si>
  <si>
    <t>Rectangul</t>
  </si>
  <si>
    <t>Imaginary</t>
  </si>
  <si>
    <t>Base Choice Sheet1</t>
  </si>
  <si>
    <t>First I</t>
  </si>
  <si>
    <t>Second I</t>
  </si>
  <si>
    <t>Third I</t>
  </si>
  <si>
    <t>For Plotting</t>
  </si>
  <si>
    <t>For plotting</t>
  </si>
  <si>
    <t>-</t>
  </si>
  <si>
    <t>Schweitzer Engineering Laboratories, Inc.</t>
  </si>
  <si>
    <t>Disclaimer: This program is provided as is, without warranty, either expressed or implied. It does not purport to be free of errors. Therefore, its use is the sole responsibility of the user.</t>
  </si>
  <si>
    <t>2.  Select phase rotation (ABC or ACB)</t>
  </si>
  <si>
    <t>Phase Values</t>
  </si>
  <si>
    <t>Rectangular Coordinates</t>
  </si>
  <si>
    <t>Symmetrical Components</t>
  </si>
  <si>
    <t>Phase Rot</t>
  </si>
  <si>
    <t>Base</t>
  </si>
  <si>
    <t>Units</t>
  </si>
  <si>
    <t>Click to navigate to:</t>
  </si>
  <si>
    <t>This program converts phase components to symmetrical components on a three-phase system.</t>
  </si>
  <si>
    <t>This program converts symmetrical components to phase components on a three-phase system.</t>
  </si>
  <si>
    <t>3.  Select phase reference base (A, B, or C)</t>
  </si>
  <si>
    <t>1.  Insert I0, I1, and I2 voltage or current values</t>
  </si>
  <si>
    <t>1.  Insert A-, B-, and C-phase voltage or current values</t>
  </si>
  <si>
    <t>Calculator for Phase to Symmetrical Components</t>
  </si>
  <si>
    <t>Calculators for Symmetrical Components</t>
  </si>
  <si>
    <t>Calculator for Symmetrical Components to Phase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</si>
</sst>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8"/>
      <name val="Tahoma"/>
      <family val="2"/>
    </font>
    <font>
      <sz val="11"/>
      <color theme="0"/>
      <name val="Calibri"/>
      <family val="2"/>
      <scheme val="minor"/>
    </font>
    <font>
      <b/>
      <sz val="11"/>
      <color theme="1"/>
      <name val="Calibri"/>
      <family val="2"/>
      <scheme val="minor"/>
    </font>
    <font>
      <sz val="11"/>
      <name val="Calibri"/>
      <family val="2"/>
      <scheme val="minor"/>
    </font>
    <font>
      <sz val="11"/>
      <color rgb="FFFF0000"/>
      <name val="Calibri"/>
      <family val="2"/>
      <scheme val="minor"/>
    </font>
    <font>
      <i/>
      <sz val="11"/>
      <color theme="1"/>
      <name val="Calibri"/>
      <family val="2"/>
      <scheme val="minor"/>
    </font>
    <font>
      <b/>
      <sz val="14"/>
      <color theme="1"/>
      <name val="Calibri"/>
      <family val="2"/>
      <scheme val="minor"/>
    </font>
    <font>
      <u/>
      <sz val="11"/>
      <color theme="10"/>
      <name val="Calibri"/>
      <family val="2"/>
    </font>
    <font>
      <b/>
      <u/>
      <sz val="11"/>
      <color theme="10"/>
      <name val="Calibri"/>
      <family val="2"/>
    </font>
  </fonts>
  <fills count="6">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8" tint="0.79998168889431442"/>
        <bgColor indexed="64"/>
      </patternFill>
    </fill>
    <fill>
      <patternFill patternType="solid">
        <fgColor theme="9" tint="0.3999450666829432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8" fillId="0" borderId="0" applyNumberFormat="0" applyFill="0" applyBorder="0" applyAlignment="0" applyProtection="0">
      <alignment vertical="top"/>
      <protection locked="0"/>
    </xf>
  </cellStyleXfs>
  <cellXfs count="71">
    <xf numFmtId="0" fontId="0" fillId="0" borderId="0" xfId="0"/>
    <xf numFmtId="0" fontId="2" fillId="0" borderId="0" xfId="0" applyFont="1"/>
    <xf numFmtId="0" fontId="0" fillId="0" borderId="0" xfId="0" applyFont="1"/>
    <xf numFmtId="0" fontId="2" fillId="2" borderId="12" xfId="0" applyFont="1" applyFill="1" applyBorder="1"/>
    <xf numFmtId="0" fontId="0" fillId="0" borderId="0" xfId="0" applyFill="1" applyBorder="1"/>
    <xf numFmtId="0" fontId="0" fillId="0" borderId="10" xfId="0" applyFill="1" applyBorder="1"/>
    <xf numFmtId="0" fontId="6" fillId="0" borderId="0" xfId="0" applyFont="1"/>
    <xf numFmtId="0" fontId="0" fillId="4" borderId="1" xfId="0" applyFill="1" applyBorder="1" applyAlignment="1">
      <alignment horizontal="center"/>
    </xf>
    <xf numFmtId="0" fontId="0" fillId="4" borderId="2" xfId="0" applyFill="1" applyBorder="1" applyAlignment="1">
      <alignment horizontal="center"/>
    </xf>
    <xf numFmtId="0" fontId="0" fillId="5" borderId="1" xfId="0" applyFill="1" applyBorder="1" applyProtection="1">
      <protection locked="0"/>
    </xf>
    <xf numFmtId="0" fontId="0" fillId="0" borderId="0" xfId="0" applyFill="1"/>
    <xf numFmtId="0" fontId="0" fillId="5" borderId="0" xfId="0" applyFill="1"/>
    <xf numFmtId="2" fontId="0" fillId="3" borderId="11" xfId="0" applyNumberFormat="1" applyFill="1" applyBorder="1"/>
    <xf numFmtId="2" fontId="0" fillId="3" borderId="1" xfId="0" applyNumberFormat="1" applyFill="1" applyBorder="1"/>
    <xf numFmtId="0" fontId="5" fillId="0" borderId="0" xfId="0" applyFont="1" applyFill="1"/>
    <xf numFmtId="0" fontId="5" fillId="0" borderId="0" xfId="0" applyFont="1"/>
    <xf numFmtId="0" fontId="5" fillId="0" borderId="0" xfId="0" applyFont="1" applyFill="1" applyBorder="1"/>
    <xf numFmtId="0" fontId="0" fillId="0" borderId="0" xfId="0" applyFont="1" applyProtection="1">
      <protection locked="0" hidden="1"/>
    </xf>
    <xf numFmtId="0" fontId="0" fillId="0" borderId="0" xfId="0" applyFont="1" applyFill="1" applyProtection="1">
      <protection locked="0"/>
    </xf>
    <xf numFmtId="0" fontId="3" fillId="4" borderId="6" xfId="0" applyFont="1" applyFill="1" applyBorder="1"/>
    <xf numFmtId="0" fontId="0" fillId="4" borderId="0" xfId="0" applyFill="1" applyBorder="1"/>
    <xf numFmtId="0" fontId="0" fillId="4" borderId="7" xfId="0" applyFill="1" applyBorder="1"/>
    <xf numFmtId="0" fontId="0" fillId="4" borderId="6" xfId="0" applyFill="1" applyBorder="1"/>
    <xf numFmtId="0" fontId="0" fillId="4" borderId="8" xfId="0" applyFill="1" applyBorder="1"/>
    <xf numFmtId="0" fontId="0" fillId="4" borderId="9" xfId="0" applyFill="1" applyBorder="1"/>
    <xf numFmtId="0" fontId="0" fillId="4" borderId="10" xfId="0" applyFill="1" applyBorder="1"/>
    <xf numFmtId="0" fontId="0" fillId="2" borderId="0" xfId="0" applyFill="1"/>
    <xf numFmtId="0" fontId="3" fillId="2" borderId="0" xfId="0" applyFont="1" applyFill="1" applyBorder="1"/>
    <xf numFmtId="0" fontId="0" fillId="2" borderId="0" xfId="0" applyFill="1" applyBorder="1"/>
    <xf numFmtId="0" fontId="6" fillId="2" borderId="0" xfId="0" applyFont="1" applyFill="1"/>
    <xf numFmtId="0" fontId="7" fillId="2" borderId="0" xfId="0" applyFont="1" applyFill="1" applyBorder="1"/>
    <xf numFmtId="0" fontId="3" fillId="2" borderId="0" xfId="0" applyFont="1" applyFill="1" applyBorder="1" applyAlignment="1">
      <alignment vertical="top" wrapText="1"/>
    </xf>
    <xf numFmtId="0" fontId="3" fillId="2" borderId="0" xfId="0" applyFont="1" applyFill="1" applyBorder="1" applyAlignment="1">
      <alignment wrapText="1"/>
    </xf>
    <xf numFmtId="0" fontId="0" fillId="2" borderId="0" xfId="0" applyFill="1" applyBorder="1" applyAlignment="1"/>
    <xf numFmtId="0" fontId="0" fillId="2" borderId="0" xfId="0" applyFill="1" applyBorder="1" applyAlignment="1">
      <alignment vertical="center" wrapText="1"/>
    </xf>
    <xf numFmtId="0" fontId="2" fillId="2" borderId="0" xfId="0" applyFont="1" applyFill="1" applyBorder="1"/>
    <xf numFmtId="0" fontId="2" fillId="2" borderId="0" xfId="0" applyFont="1" applyFill="1"/>
    <xf numFmtId="0" fontId="0" fillId="2" borderId="0" xfId="0" applyFont="1" applyFill="1"/>
    <xf numFmtId="0" fontId="0" fillId="2" borderId="0" xfId="0" applyFill="1" applyBorder="1" applyAlignment="1">
      <alignment horizontal="left"/>
    </xf>
    <xf numFmtId="0" fontId="0" fillId="2" borderId="0" xfId="0" applyFill="1" applyProtection="1"/>
    <xf numFmtId="0" fontId="0" fillId="2" borderId="0" xfId="0" applyFill="1" applyBorder="1" applyAlignment="1">
      <alignment horizontal="center"/>
    </xf>
    <xf numFmtId="2" fontId="0" fillId="2" borderId="0" xfId="0" applyNumberFormat="1" applyFill="1" applyBorder="1"/>
    <xf numFmtId="0" fontId="5" fillId="2" borderId="0" xfId="0" applyFont="1" applyFill="1"/>
    <xf numFmtId="0" fontId="5" fillId="2" borderId="0" xfId="0" applyFont="1" applyFill="1" applyBorder="1"/>
    <xf numFmtId="0" fontId="4" fillId="2" borderId="0" xfId="0" applyFont="1" applyFill="1"/>
    <xf numFmtId="0" fontId="0" fillId="2" borderId="0" xfId="0" applyNumberFormat="1" applyFill="1"/>
    <xf numFmtId="0" fontId="8" fillId="2" borderId="0" xfId="1" applyFill="1" applyBorder="1" applyAlignment="1" applyProtection="1">
      <alignment wrapText="1"/>
    </xf>
    <xf numFmtId="0" fontId="5" fillId="0" borderId="0" xfId="0" applyNumberFormat="1" applyFont="1" applyFill="1" applyProtection="1"/>
    <xf numFmtId="0" fontId="3" fillId="2" borderId="3"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0"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0" fillId="4" borderId="3" xfId="0" applyFill="1" applyBorder="1" applyAlignment="1">
      <alignment horizontal="left" vertical="center" wrapText="1"/>
    </xf>
    <xf numFmtId="0" fontId="0" fillId="4" borderId="4" xfId="0" applyFill="1" applyBorder="1" applyAlignment="1">
      <alignment horizontal="left" vertical="center" wrapText="1"/>
    </xf>
    <xf numFmtId="0" fontId="0" fillId="4" borderId="5" xfId="0" applyFill="1" applyBorder="1" applyAlignment="1">
      <alignment horizontal="left" vertical="center" wrapText="1"/>
    </xf>
    <xf numFmtId="0" fontId="0" fillId="4" borderId="8" xfId="0" applyFill="1" applyBorder="1" applyAlignment="1">
      <alignment horizontal="left" vertical="center" wrapText="1"/>
    </xf>
    <xf numFmtId="0" fontId="0" fillId="4" borderId="9" xfId="0" applyFill="1" applyBorder="1" applyAlignment="1">
      <alignment horizontal="left" vertical="center" wrapText="1"/>
    </xf>
    <xf numFmtId="0" fontId="0" fillId="4" borderId="10" xfId="0" applyFill="1" applyBorder="1" applyAlignment="1">
      <alignment horizontal="left" vertical="center" wrapText="1"/>
    </xf>
    <xf numFmtId="0" fontId="3" fillId="4" borderId="13" xfId="0" applyFont="1" applyFill="1" applyBorder="1" applyAlignment="1">
      <alignment horizontal="center"/>
    </xf>
    <xf numFmtId="0" fontId="3" fillId="4" borderId="14" xfId="0" applyFont="1" applyFill="1" applyBorder="1" applyAlignment="1">
      <alignment horizontal="center"/>
    </xf>
    <xf numFmtId="0" fontId="3" fillId="4" borderId="15" xfId="0" applyFont="1" applyFill="1" applyBorder="1" applyAlignment="1">
      <alignment horizontal="center"/>
    </xf>
    <xf numFmtId="0" fontId="9" fillId="2" borderId="0" xfId="1" applyFont="1" applyFill="1" applyAlignment="1" applyProtection="1">
      <alignment horizontal="left"/>
      <protection locked="0"/>
    </xf>
    <xf numFmtId="0" fontId="3" fillId="2" borderId="0" xfId="0" applyFont="1" applyFill="1" applyAlignment="1">
      <alignment horizontal="center" vertical="center"/>
    </xf>
    <xf numFmtId="0" fontId="8" fillId="2" borderId="0" xfId="1" applyFill="1" applyBorder="1" applyAlignment="1" applyProtection="1">
      <alignment horizontal="right" wrapText="1"/>
      <protection locked="0"/>
    </xf>
    <xf numFmtId="0" fontId="8" fillId="2" borderId="0" xfId="1" applyFill="1" applyAlignment="1" applyProtection="1">
      <alignment horizontal="right"/>
      <protection locked="0"/>
    </xf>
    <xf numFmtId="0" fontId="0" fillId="2" borderId="0" xfId="0" applyFill="1" applyAlignment="1" applyProtection="1">
      <alignment horizontal="right"/>
      <protection locked="0"/>
    </xf>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 Domain</a:t>
            </a:r>
          </a:p>
        </c:rich>
      </c:tx>
      <c:overlay val="0"/>
    </c:title>
    <c:autoTitleDeleted val="0"/>
    <c:plotArea>
      <c:layout/>
      <c:scatterChart>
        <c:scatterStyle val="lineMarker"/>
        <c:varyColors val="0"/>
        <c:ser>
          <c:idx val="1"/>
          <c:order val="0"/>
          <c:tx>
            <c:v>A-phase</c:v>
          </c:tx>
          <c:xVal>
            <c:numRef>
              <c:f>('Phase to Symm Comp'!$C$51,'Phase to Symm Comp'!$B$30)</c:f>
              <c:numCache>
                <c:formatCode>General</c:formatCode>
                <c:ptCount val="2"/>
                <c:pt idx="0">
                  <c:v>2.1788935686914499</c:v>
                </c:pt>
                <c:pt idx="1">
                  <c:v>0</c:v>
                </c:pt>
              </c:numCache>
            </c:numRef>
          </c:xVal>
          <c:yVal>
            <c:numRef>
              <c:f>('Phase to Symm Comp'!$D$51,'Phase to Symm Comp'!$B$30)</c:f>
              <c:numCache>
                <c:formatCode>General</c:formatCode>
                <c:ptCount val="2"/>
                <c:pt idx="0">
                  <c:v>24.904867452293601</c:v>
                </c:pt>
                <c:pt idx="1">
                  <c:v>0</c:v>
                </c:pt>
              </c:numCache>
            </c:numRef>
          </c:yVal>
          <c:smooth val="0"/>
          <c:extLst>
            <c:ext xmlns:c16="http://schemas.microsoft.com/office/drawing/2014/chart" uri="{C3380CC4-5D6E-409C-BE32-E72D297353CC}">
              <c16:uniqueId val="{00000000-8E91-412B-8BE3-46EB8F3EEF8F}"/>
            </c:ext>
          </c:extLst>
        </c:ser>
        <c:ser>
          <c:idx val="0"/>
          <c:order val="1"/>
          <c:tx>
            <c:v>B-phase</c:v>
          </c:tx>
          <c:xVal>
            <c:numRef>
              <c:f>('Phase to Symm Comp'!$C$52,'Phase to Symm Comp'!$B$30)</c:f>
              <c:numCache>
                <c:formatCode>General</c:formatCode>
                <c:ptCount val="2"/>
                <c:pt idx="0">
                  <c:v>-12.7279220613579</c:v>
                </c:pt>
                <c:pt idx="1">
                  <c:v>0</c:v>
                </c:pt>
              </c:numCache>
            </c:numRef>
          </c:xVal>
          <c:yVal>
            <c:numRef>
              <c:f>('Phase to Symm Comp'!$D$52,'Phase to Symm Comp'!$B$30)</c:f>
              <c:numCache>
                <c:formatCode>General</c:formatCode>
                <c:ptCount val="2"/>
                <c:pt idx="0">
                  <c:v>-12.7279220613579</c:v>
                </c:pt>
                <c:pt idx="1">
                  <c:v>0</c:v>
                </c:pt>
              </c:numCache>
            </c:numRef>
          </c:yVal>
          <c:smooth val="0"/>
          <c:extLst>
            <c:ext xmlns:c16="http://schemas.microsoft.com/office/drawing/2014/chart" uri="{C3380CC4-5D6E-409C-BE32-E72D297353CC}">
              <c16:uniqueId val="{00000001-8E91-412B-8BE3-46EB8F3EEF8F}"/>
            </c:ext>
          </c:extLst>
        </c:ser>
        <c:ser>
          <c:idx val="2"/>
          <c:order val="2"/>
          <c:tx>
            <c:v>C-phase</c:v>
          </c:tx>
          <c:xVal>
            <c:numRef>
              <c:f>('Phase to Symm Comp'!$C$53,'Phase to Symm Comp'!$B$30)</c:f>
              <c:numCache>
                <c:formatCode>General</c:formatCode>
                <c:ptCount val="2"/>
                <c:pt idx="0">
                  <c:v>-16.383040885779799</c:v>
                </c:pt>
                <c:pt idx="1">
                  <c:v>0</c:v>
                </c:pt>
              </c:numCache>
            </c:numRef>
          </c:xVal>
          <c:yVal>
            <c:numRef>
              <c:f>('Phase to Symm Comp'!$D$53,'Phase to Symm Comp'!$B$30)</c:f>
              <c:numCache>
                <c:formatCode>General</c:formatCode>
                <c:ptCount val="2"/>
                <c:pt idx="0">
                  <c:v>11.4715287270209</c:v>
                </c:pt>
                <c:pt idx="1">
                  <c:v>0</c:v>
                </c:pt>
              </c:numCache>
            </c:numRef>
          </c:yVal>
          <c:smooth val="0"/>
          <c:extLst>
            <c:ext xmlns:c16="http://schemas.microsoft.com/office/drawing/2014/chart" uri="{C3380CC4-5D6E-409C-BE32-E72D297353CC}">
              <c16:uniqueId val="{00000002-8E91-412B-8BE3-46EB8F3EEF8F}"/>
            </c:ext>
          </c:extLst>
        </c:ser>
        <c:dLbls>
          <c:showLegendKey val="0"/>
          <c:showVal val="0"/>
          <c:showCatName val="0"/>
          <c:showSerName val="0"/>
          <c:showPercent val="0"/>
          <c:showBubbleSize val="0"/>
        </c:dLbls>
        <c:axId val="90913024"/>
        <c:axId val="90923008"/>
      </c:scatterChart>
      <c:valAx>
        <c:axId val="90913024"/>
        <c:scaling>
          <c:orientation val="minMax"/>
        </c:scaling>
        <c:delete val="0"/>
        <c:axPos val="b"/>
        <c:numFmt formatCode="General" sourceLinked="1"/>
        <c:majorTickMark val="out"/>
        <c:minorTickMark val="none"/>
        <c:tickLblPos val="nextTo"/>
        <c:crossAx val="90923008"/>
        <c:crossesAt val="0"/>
        <c:crossBetween val="midCat"/>
      </c:valAx>
      <c:valAx>
        <c:axId val="90923008"/>
        <c:scaling>
          <c:orientation val="minMax"/>
        </c:scaling>
        <c:delete val="0"/>
        <c:axPos val="l"/>
        <c:majorGridlines>
          <c:spPr>
            <a:ln>
              <a:solidFill>
                <a:sysClr val="window" lastClr="FFFFFF"/>
              </a:solidFill>
            </a:ln>
          </c:spPr>
        </c:majorGridlines>
        <c:numFmt formatCode="General" sourceLinked="1"/>
        <c:majorTickMark val="out"/>
        <c:minorTickMark val="none"/>
        <c:tickLblPos val="nextTo"/>
        <c:crossAx val="90913024"/>
        <c:crossesAt val="0"/>
        <c:crossBetween val="midCat"/>
      </c:valAx>
    </c:plotArea>
    <c:legend>
      <c:legendPos val="r"/>
      <c:overlay val="0"/>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Symmetrical</a:t>
            </a:r>
            <a:r>
              <a:rPr lang="en-US" baseline="0"/>
              <a:t> Components</a:t>
            </a:r>
            <a:endParaRPr lang="en-US"/>
          </a:p>
        </c:rich>
      </c:tx>
      <c:overlay val="0"/>
    </c:title>
    <c:autoTitleDeleted val="0"/>
    <c:plotArea>
      <c:layout>
        <c:manualLayout>
          <c:layoutTarget val="inner"/>
          <c:xMode val="edge"/>
          <c:yMode val="edge"/>
          <c:x val="4.4067796610169511E-2"/>
          <c:y val="0.20840453453956626"/>
          <c:w val="0.77459050669514118"/>
          <c:h val="0.6474778950503528"/>
        </c:manualLayout>
      </c:layout>
      <c:scatterChart>
        <c:scatterStyle val="lineMarker"/>
        <c:varyColors val="0"/>
        <c:ser>
          <c:idx val="1"/>
          <c:order val="0"/>
          <c:tx>
            <c:v>NEG</c:v>
          </c:tx>
          <c:xVal>
            <c:numRef>
              <c:f>('Phase to Symm Comp'!$C$54,'Phase to Symm Comp'!$B$30)</c:f>
              <c:numCache>
                <c:formatCode>General</c:formatCode>
                <c:ptCount val="2"/>
                <c:pt idx="0">
                  <c:v>-1.40765469936903</c:v>
                </c:pt>
                <c:pt idx="1">
                  <c:v>0</c:v>
                </c:pt>
              </c:numCache>
            </c:numRef>
          </c:xVal>
          <c:yVal>
            <c:numRef>
              <c:f>('Phase to Symm Comp'!$D$54,'Phase to Symm Comp'!$B$30)</c:f>
              <c:numCache>
                <c:formatCode>General</c:formatCode>
                <c:ptCount val="2"/>
                <c:pt idx="0">
                  <c:v>7.4558794545539699</c:v>
                </c:pt>
                <c:pt idx="1">
                  <c:v>0</c:v>
                </c:pt>
              </c:numCache>
            </c:numRef>
          </c:yVal>
          <c:smooth val="0"/>
          <c:extLst>
            <c:ext xmlns:c16="http://schemas.microsoft.com/office/drawing/2014/chart" uri="{C3380CC4-5D6E-409C-BE32-E72D297353CC}">
              <c16:uniqueId val="{00000000-756C-4721-98B7-0B2926606DB1}"/>
            </c:ext>
          </c:extLst>
        </c:ser>
        <c:ser>
          <c:idx val="0"/>
          <c:order val="1"/>
          <c:tx>
            <c:v>ZERO</c:v>
          </c:tx>
          <c:xVal>
            <c:numRef>
              <c:f>('Phase to Symm Comp'!$C$55,'Phase to Symm Comp'!$B$30)</c:f>
              <c:numCache>
                <c:formatCode>General</c:formatCode>
                <c:ptCount val="2"/>
                <c:pt idx="0">
                  <c:v>-8.9773564594821007</c:v>
                </c:pt>
                <c:pt idx="1">
                  <c:v>0</c:v>
                </c:pt>
              </c:numCache>
            </c:numRef>
          </c:xVal>
          <c:yVal>
            <c:numRef>
              <c:f>('Phase to Symm Comp'!$D$55,'Phase to Symm Comp'!$B$30)</c:f>
              <c:numCache>
                <c:formatCode>General</c:formatCode>
                <c:ptCount val="2"/>
                <c:pt idx="0">
                  <c:v>7.8828247059855299</c:v>
                </c:pt>
                <c:pt idx="1">
                  <c:v>0</c:v>
                </c:pt>
              </c:numCache>
            </c:numRef>
          </c:yVal>
          <c:smooth val="0"/>
          <c:extLst>
            <c:ext xmlns:c16="http://schemas.microsoft.com/office/drawing/2014/chart" uri="{C3380CC4-5D6E-409C-BE32-E72D297353CC}">
              <c16:uniqueId val="{00000001-756C-4721-98B7-0B2926606DB1}"/>
            </c:ext>
          </c:extLst>
        </c:ser>
        <c:ser>
          <c:idx val="2"/>
          <c:order val="2"/>
          <c:tx>
            <c:v>POS</c:v>
          </c:tx>
          <c:xVal>
            <c:numRef>
              <c:f>('Phase to Symm Comp'!$C$56,'Phase to Symm Comp'!$B$30)</c:f>
              <c:numCache>
                <c:formatCode>General</c:formatCode>
                <c:ptCount val="2"/>
                <c:pt idx="0">
                  <c:v>12.5639047275425</c:v>
                </c:pt>
                <c:pt idx="1">
                  <c:v>0</c:v>
                </c:pt>
              </c:numCache>
            </c:numRef>
          </c:xVal>
          <c:yVal>
            <c:numRef>
              <c:f>('Phase to Symm Comp'!$D$56,'Phase to Symm Comp'!$B$30)</c:f>
              <c:numCache>
                <c:formatCode>General</c:formatCode>
                <c:ptCount val="2"/>
                <c:pt idx="0">
                  <c:v>9.5661632917540693</c:v>
                </c:pt>
                <c:pt idx="1">
                  <c:v>0</c:v>
                </c:pt>
              </c:numCache>
            </c:numRef>
          </c:yVal>
          <c:smooth val="0"/>
          <c:extLst>
            <c:ext xmlns:c16="http://schemas.microsoft.com/office/drawing/2014/chart" uri="{C3380CC4-5D6E-409C-BE32-E72D297353CC}">
              <c16:uniqueId val="{00000002-756C-4721-98B7-0B2926606DB1}"/>
            </c:ext>
          </c:extLst>
        </c:ser>
        <c:dLbls>
          <c:showLegendKey val="0"/>
          <c:showVal val="0"/>
          <c:showCatName val="0"/>
          <c:showSerName val="0"/>
          <c:showPercent val="0"/>
          <c:showBubbleSize val="0"/>
        </c:dLbls>
        <c:axId val="90940928"/>
        <c:axId val="90942464"/>
      </c:scatterChart>
      <c:valAx>
        <c:axId val="90940928"/>
        <c:scaling>
          <c:orientation val="minMax"/>
        </c:scaling>
        <c:delete val="0"/>
        <c:axPos val="b"/>
        <c:numFmt formatCode="General" sourceLinked="1"/>
        <c:majorTickMark val="out"/>
        <c:minorTickMark val="none"/>
        <c:tickLblPos val="nextTo"/>
        <c:spPr>
          <a:noFill/>
          <a:ln>
            <a:solidFill>
              <a:schemeClr val="tx1"/>
            </a:solidFill>
          </a:ln>
        </c:spPr>
        <c:crossAx val="90942464"/>
        <c:crossesAt val="0"/>
        <c:crossBetween val="midCat"/>
      </c:valAx>
      <c:valAx>
        <c:axId val="90942464"/>
        <c:scaling>
          <c:orientation val="minMax"/>
        </c:scaling>
        <c:delete val="0"/>
        <c:axPos val="l"/>
        <c:majorGridlines>
          <c:spPr>
            <a:ln>
              <a:solidFill>
                <a:schemeClr val="bg1"/>
              </a:solidFill>
            </a:ln>
          </c:spPr>
        </c:majorGridlines>
        <c:numFmt formatCode="General" sourceLinked="1"/>
        <c:majorTickMark val="out"/>
        <c:minorTickMark val="none"/>
        <c:tickLblPos val="nextTo"/>
        <c:crossAx val="90940928"/>
        <c:crossesAt val="0"/>
        <c:crossBetween val="midCat"/>
      </c:valAx>
      <c:spPr>
        <a:ln>
          <a:noFill/>
        </a:ln>
      </c:spPr>
    </c:plotArea>
    <c:legend>
      <c:legendPos val="r"/>
      <c:overlay val="0"/>
    </c:legend>
    <c:plotVisOnly val="1"/>
    <c:dispBlanksAs val="gap"/>
    <c:showDLblsOverMax val="0"/>
  </c:chart>
  <c:printSettings>
    <c:headerFooter/>
    <c:pageMargins b="0.75000000000000289" l="0.70000000000000062" r="0.70000000000000062" t="0.750000000000002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r>
              <a:rPr lang="en-US" baseline="0"/>
              <a:t> Domain</a:t>
            </a:r>
            <a:endParaRPr lang="en-US"/>
          </a:p>
        </c:rich>
      </c:tx>
      <c:overlay val="0"/>
    </c:title>
    <c:autoTitleDeleted val="0"/>
    <c:plotArea>
      <c:layout/>
      <c:scatterChart>
        <c:scatterStyle val="lineMarker"/>
        <c:varyColors val="0"/>
        <c:ser>
          <c:idx val="1"/>
          <c:order val="0"/>
          <c:tx>
            <c:v>A-phase</c:v>
          </c:tx>
          <c:xVal>
            <c:numRef>
              <c:f>('Symm Comp to Phase'!$B$34,'Symm Comp to Phase'!$B$19)</c:f>
              <c:numCache>
                <c:formatCode>General</c:formatCode>
                <c:ptCount val="2"/>
                <c:pt idx="0">
                  <c:v>2.1788804288468899</c:v>
                </c:pt>
                <c:pt idx="1">
                  <c:v>0</c:v>
                </c:pt>
              </c:numCache>
            </c:numRef>
          </c:xVal>
          <c:yVal>
            <c:numRef>
              <c:f>('Symm Comp to Phase'!$C$34,'Symm Comp to Phase'!$B$19)</c:f>
              <c:numCache>
                <c:formatCode>General</c:formatCode>
                <c:ptCount val="2"/>
                <c:pt idx="0">
                  <c:v>24.905007661749199</c:v>
                </c:pt>
                <c:pt idx="1">
                  <c:v>0</c:v>
                </c:pt>
              </c:numCache>
            </c:numRef>
          </c:yVal>
          <c:smooth val="0"/>
          <c:extLst>
            <c:ext xmlns:c16="http://schemas.microsoft.com/office/drawing/2014/chart" uri="{C3380CC4-5D6E-409C-BE32-E72D297353CC}">
              <c16:uniqueId val="{00000000-9332-42A2-A013-C6A0BCC1BB25}"/>
            </c:ext>
          </c:extLst>
        </c:ser>
        <c:ser>
          <c:idx val="0"/>
          <c:order val="1"/>
          <c:tx>
            <c:v>B-phase</c:v>
          </c:tx>
          <c:xVal>
            <c:numRef>
              <c:f>('Symm Comp to Phase'!$B$35,'Symm Comp to Phase'!$B$19)</c:f>
              <c:numCache>
                <c:formatCode>General</c:formatCode>
                <c:ptCount val="2"/>
                <c:pt idx="0">
                  <c:v>-12.728402934563</c:v>
                </c:pt>
                <c:pt idx="1">
                  <c:v>0</c:v>
                </c:pt>
              </c:numCache>
            </c:numRef>
          </c:xVal>
          <c:yVal>
            <c:numRef>
              <c:f>('Symm Comp to Phase'!$C$35,'Symm Comp to Phase'!$B$19)</c:f>
              <c:numCache>
                <c:formatCode>General</c:formatCode>
                <c:ptCount val="2"/>
                <c:pt idx="0">
                  <c:v>-12.7279022928355</c:v>
                </c:pt>
                <c:pt idx="1">
                  <c:v>0</c:v>
                </c:pt>
              </c:numCache>
            </c:numRef>
          </c:yVal>
          <c:smooth val="0"/>
          <c:extLst>
            <c:ext xmlns:c16="http://schemas.microsoft.com/office/drawing/2014/chart" uri="{C3380CC4-5D6E-409C-BE32-E72D297353CC}">
              <c16:uniqueId val="{00000001-9332-42A2-A013-C6A0BCC1BB25}"/>
            </c:ext>
          </c:extLst>
        </c:ser>
        <c:ser>
          <c:idx val="2"/>
          <c:order val="2"/>
          <c:tx>
            <c:v>C-phase</c:v>
          </c:tx>
          <c:xVal>
            <c:numRef>
              <c:f>('Symm Comp to Phase'!$B$36,'Symm Comp to Phase'!$B$19)</c:f>
              <c:numCache>
                <c:formatCode>General</c:formatCode>
                <c:ptCount val="2"/>
                <c:pt idx="0">
                  <c:v>-16.382314535467401</c:v>
                </c:pt>
                <c:pt idx="1">
                  <c:v>0</c:v>
                </c:pt>
              </c:numCache>
            </c:numRef>
          </c:xVal>
          <c:yVal>
            <c:numRef>
              <c:f>('Symm Comp to Phase'!$C$36,'Symm Comp to Phase'!$B$19)</c:f>
              <c:numCache>
                <c:formatCode>General</c:formatCode>
                <c:ptCount val="2"/>
                <c:pt idx="0">
                  <c:v>11.4714344292882</c:v>
                </c:pt>
                <c:pt idx="1">
                  <c:v>0</c:v>
                </c:pt>
              </c:numCache>
            </c:numRef>
          </c:yVal>
          <c:smooth val="0"/>
          <c:extLst>
            <c:ext xmlns:c16="http://schemas.microsoft.com/office/drawing/2014/chart" uri="{C3380CC4-5D6E-409C-BE32-E72D297353CC}">
              <c16:uniqueId val="{00000002-9332-42A2-A013-C6A0BCC1BB25}"/>
            </c:ext>
          </c:extLst>
        </c:ser>
        <c:dLbls>
          <c:showLegendKey val="0"/>
          <c:showVal val="0"/>
          <c:showCatName val="0"/>
          <c:showSerName val="0"/>
          <c:showPercent val="0"/>
          <c:showBubbleSize val="0"/>
        </c:dLbls>
        <c:axId val="76161792"/>
        <c:axId val="76163328"/>
      </c:scatterChart>
      <c:valAx>
        <c:axId val="76161792"/>
        <c:scaling>
          <c:orientation val="minMax"/>
        </c:scaling>
        <c:delete val="0"/>
        <c:axPos val="b"/>
        <c:numFmt formatCode="General" sourceLinked="1"/>
        <c:majorTickMark val="out"/>
        <c:minorTickMark val="none"/>
        <c:tickLblPos val="nextTo"/>
        <c:crossAx val="76163328"/>
        <c:crossesAt val="0"/>
        <c:crossBetween val="midCat"/>
      </c:valAx>
      <c:valAx>
        <c:axId val="76163328"/>
        <c:scaling>
          <c:orientation val="minMax"/>
        </c:scaling>
        <c:delete val="0"/>
        <c:axPos val="l"/>
        <c:majorGridlines>
          <c:spPr>
            <a:ln>
              <a:solidFill>
                <a:schemeClr val="bg1"/>
              </a:solidFill>
            </a:ln>
          </c:spPr>
        </c:majorGridlines>
        <c:numFmt formatCode="General" sourceLinked="1"/>
        <c:majorTickMark val="out"/>
        <c:minorTickMark val="none"/>
        <c:tickLblPos val="nextTo"/>
        <c:crossAx val="76161792"/>
        <c:crossesAt val="0"/>
        <c:crossBetween val="midCat"/>
      </c:valAx>
    </c:plotArea>
    <c:legend>
      <c:legendPos val="r"/>
      <c:overlay val="0"/>
    </c:legend>
    <c:plotVisOnly val="1"/>
    <c:dispBlanksAs val="gap"/>
    <c:showDLblsOverMax val="0"/>
  </c:chart>
  <c:printSettings>
    <c:headerFooter/>
    <c:pageMargins b="0.75000000000000289" l="0.70000000000000062" r="0.70000000000000062" t="0.750000000000002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Symmetrical</a:t>
            </a:r>
            <a:r>
              <a:rPr lang="en-US" baseline="0"/>
              <a:t> Components</a:t>
            </a:r>
            <a:endParaRPr lang="en-US"/>
          </a:p>
        </c:rich>
      </c:tx>
      <c:overlay val="0"/>
    </c:title>
    <c:autoTitleDeleted val="0"/>
    <c:plotArea>
      <c:layout>
        <c:manualLayout>
          <c:layoutTarget val="inner"/>
          <c:xMode val="edge"/>
          <c:yMode val="edge"/>
          <c:x val="4.4067796610169511E-2"/>
          <c:y val="0.20840453453956631"/>
          <c:w val="0.77459050669514162"/>
          <c:h val="0.6474778950503528"/>
        </c:manualLayout>
      </c:layout>
      <c:scatterChart>
        <c:scatterStyle val="lineMarker"/>
        <c:varyColors val="0"/>
        <c:ser>
          <c:idx val="1"/>
          <c:order val="0"/>
          <c:tx>
            <c:v>I2</c:v>
          </c:tx>
          <c:xVal>
            <c:numRef>
              <c:f>('Symm Comp to Phase'!$B$37,'Symm Comp to Phase'!$B$19)</c:f>
              <c:numCache>
                <c:formatCode>General</c:formatCode>
                <c:ptCount val="2"/>
                <c:pt idx="0">
                  <c:v>-1.4076670640769</c:v>
                </c:pt>
                <c:pt idx="1">
                  <c:v>0</c:v>
                </c:pt>
              </c:numCache>
            </c:numRef>
          </c:xVal>
          <c:yVal>
            <c:numRef>
              <c:f>('Symm Comp to Phase'!$C$37,'Symm Comp to Phase'!$B$19)</c:f>
              <c:numCache>
                <c:formatCode>General</c:formatCode>
                <c:ptCount val="2"/>
                <c:pt idx="0">
                  <c:v>7.4562871079856601</c:v>
                </c:pt>
                <c:pt idx="1">
                  <c:v>0</c:v>
                </c:pt>
              </c:numCache>
            </c:numRef>
          </c:yVal>
          <c:smooth val="0"/>
          <c:extLst>
            <c:ext xmlns:c16="http://schemas.microsoft.com/office/drawing/2014/chart" uri="{C3380CC4-5D6E-409C-BE32-E72D297353CC}">
              <c16:uniqueId val="{00000000-A7D2-4AD9-AE57-ED53EB4FE8DE}"/>
            </c:ext>
          </c:extLst>
        </c:ser>
        <c:ser>
          <c:idx val="0"/>
          <c:order val="1"/>
          <c:tx>
            <c:v>I0</c:v>
          </c:tx>
          <c:xVal>
            <c:numRef>
              <c:f>('Symm Comp to Phase'!$B$38,'Symm Comp to Phase'!$B$19)</c:f>
              <c:numCache>
                <c:formatCode>General</c:formatCode>
                <c:ptCount val="2"/>
                <c:pt idx="0">
                  <c:v>-8.9772790137278093</c:v>
                </c:pt>
                <c:pt idx="1">
                  <c:v>0</c:v>
                </c:pt>
              </c:numCache>
            </c:numRef>
          </c:xVal>
          <c:yVal>
            <c:numRef>
              <c:f>('Symm Comp to Phase'!$C$38,'Symm Comp to Phase'!$B$19)</c:f>
              <c:numCache>
                <c:formatCode>General</c:formatCode>
                <c:ptCount val="2"/>
                <c:pt idx="0">
                  <c:v>7.8828465994006303</c:v>
                </c:pt>
                <c:pt idx="1">
                  <c:v>0</c:v>
                </c:pt>
              </c:numCache>
            </c:numRef>
          </c:yVal>
          <c:smooth val="0"/>
          <c:extLst>
            <c:ext xmlns:c16="http://schemas.microsoft.com/office/drawing/2014/chart" uri="{C3380CC4-5D6E-409C-BE32-E72D297353CC}">
              <c16:uniqueId val="{00000001-A7D2-4AD9-AE57-ED53EB4FE8DE}"/>
            </c:ext>
          </c:extLst>
        </c:ser>
        <c:ser>
          <c:idx val="2"/>
          <c:order val="2"/>
          <c:tx>
            <c:v>I1</c:v>
          </c:tx>
          <c:xVal>
            <c:numRef>
              <c:f>('Symm Comp to Phase'!$B$39,'Symm Comp to Phase'!$B$19)</c:f>
              <c:numCache>
                <c:formatCode>General</c:formatCode>
                <c:ptCount val="2"/>
                <c:pt idx="0">
                  <c:v>12.5638265066516</c:v>
                </c:pt>
                <c:pt idx="1">
                  <c:v>0</c:v>
                </c:pt>
              </c:numCache>
            </c:numRef>
          </c:xVal>
          <c:yVal>
            <c:numRef>
              <c:f>('Symm Comp to Phase'!$C$39,'Symm Comp to Phase'!$B$19)</c:f>
              <c:numCache>
                <c:formatCode>General</c:formatCode>
                <c:ptCount val="2"/>
                <c:pt idx="0">
                  <c:v>9.5658739543628908</c:v>
                </c:pt>
                <c:pt idx="1">
                  <c:v>0</c:v>
                </c:pt>
              </c:numCache>
            </c:numRef>
          </c:yVal>
          <c:smooth val="0"/>
          <c:extLst>
            <c:ext xmlns:c16="http://schemas.microsoft.com/office/drawing/2014/chart" uri="{C3380CC4-5D6E-409C-BE32-E72D297353CC}">
              <c16:uniqueId val="{00000002-A7D2-4AD9-AE57-ED53EB4FE8DE}"/>
            </c:ext>
          </c:extLst>
        </c:ser>
        <c:dLbls>
          <c:showLegendKey val="0"/>
          <c:showVal val="0"/>
          <c:showCatName val="0"/>
          <c:showSerName val="0"/>
          <c:showPercent val="0"/>
          <c:showBubbleSize val="0"/>
        </c:dLbls>
        <c:axId val="76193152"/>
        <c:axId val="76203136"/>
      </c:scatterChart>
      <c:valAx>
        <c:axId val="76193152"/>
        <c:scaling>
          <c:orientation val="minMax"/>
        </c:scaling>
        <c:delete val="0"/>
        <c:axPos val="b"/>
        <c:numFmt formatCode="General" sourceLinked="1"/>
        <c:majorTickMark val="out"/>
        <c:minorTickMark val="none"/>
        <c:tickLblPos val="nextTo"/>
        <c:spPr>
          <a:noFill/>
          <a:ln>
            <a:solidFill>
              <a:schemeClr val="tx1"/>
            </a:solidFill>
          </a:ln>
        </c:spPr>
        <c:crossAx val="76203136"/>
        <c:crossesAt val="0"/>
        <c:crossBetween val="midCat"/>
      </c:valAx>
      <c:valAx>
        <c:axId val="76203136"/>
        <c:scaling>
          <c:orientation val="minMax"/>
        </c:scaling>
        <c:delete val="0"/>
        <c:axPos val="l"/>
        <c:majorGridlines>
          <c:spPr>
            <a:ln>
              <a:solidFill>
                <a:schemeClr val="bg1"/>
              </a:solidFill>
            </a:ln>
          </c:spPr>
        </c:majorGridlines>
        <c:numFmt formatCode="General" sourceLinked="1"/>
        <c:majorTickMark val="out"/>
        <c:minorTickMark val="none"/>
        <c:tickLblPos val="nextTo"/>
        <c:crossAx val="76193152"/>
        <c:crossesAt val="0"/>
        <c:crossBetween val="midCat"/>
      </c:valAx>
      <c:spPr>
        <a:ln>
          <a:noFill/>
        </a:ln>
      </c:spPr>
    </c:plotArea>
    <c:legend>
      <c:legendPos val="r"/>
      <c:overlay val="0"/>
    </c:legend>
    <c:plotVisOnly val="1"/>
    <c:dispBlanksAs val="gap"/>
    <c:showDLblsOverMax val="0"/>
  </c:chart>
  <c:printSettings>
    <c:headerFooter/>
    <c:pageMargins b="0.75000000000000311" l="0.70000000000000062" r="0.70000000000000062" t="0.75000000000000311" header="0.30000000000000032" footer="0.30000000000000032"/>
    <c:pageSetup/>
  </c:printSettings>
</c:chartSpace>
</file>

<file path=xl/ctrlProps/ctrlProp1.xml><?xml version="1.0" encoding="utf-8"?>
<formControlPr xmlns="http://schemas.microsoft.com/office/spreadsheetml/2009/9/main" objectType="Radio" checked="Checked" firstButton="1" fmlaLink="Sheet3!$D$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firstButton="1" fmlaLink="Sheet3!$D$6"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fmlaLink="Sheet3!$D$7"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Radio" checked="Checked" firstButton="1" fmlaLink="Sheet3!$F$6"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checked="Checked" firstButton="1" fmlaLink="Sheet3!$F$5"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fmlaLink="Sheet3!$F$7" lockText="1" noThreeD="1"/>
</file>

<file path=xl/ctrlProps/ctrlProp2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9523</xdr:colOff>
      <xdr:row>18</xdr:row>
      <xdr:rowOff>190499</xdr:rowOff>
    </xdr:from>
    <xdr:to>
      <xdr:col>6</xdr:col>
      <xdr:colOff>295274</xdr:colOff>
      <xdr:row>32</xdr:row>
      <xdr:rowOff>85725</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704850</xdr:colOff>
      <xdr:row>18</xdr:row>
      <xdr:rowOff>180976</xdr:rowOff>
    </xdr:from>
    <xdr:to>
      <xdr:col>12</xdr:col>
      <xdr:colOff>312163</xdr:colOff>
      <xdr:row>32</xdr:row>
      <xdr:rowOff>57150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144780</xdr:colOff>
          <xdr:row>10</xdr:row>
          <xdr:rowOff>76200</xdr:rowOff>
        </xdr:from>
        <xdr:to>
          <xdr:col>2</xdr:col>
          <xdr:colOff>99060</xdr:colOff>
          <xdr:row>11</xdr:row>
          <xdr:rowOff>99060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ABC</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236220</xdr:colOff>
          <xdr:row>10</xdr:row>
          <xdr:rowOff>83820</xdr:rowOff>
        </xdr:from>
        <xdr:to>
          <xdr:col>2</xdr:col>
          <xdr:colOff>571500</xdr:colOff>
          <xdr:row>11</xdr:row>
          <xdr:rowOff>106680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ACB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99060</xdr:colOff>
          <xdr:row>13</xdr:row>
          <xdr:rowOff>76200</xdr:rowOff>
        </xdr:from>
        <xdr:to>
          <xdr:col>1</xdr:col>
          <xdr:colOff>373380</xdr:colOff>
          <xdr:row>14</xdr:row>
          <xdr:rowOff>99060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45720</xdr:colOff>
          <xdr:row>13</xdr:row>
          <xdr:rowOff>68580</xdr:rowOff>
        </xdr:from>
        <xdr:to>
          <xdr:col>2</xdr:col>
          <xdr:colOff>320040</xdr:colOff>
          <xdr:row>14</xdr:row>
          <xdr:rowOff>91440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358140</xdr:colOff>
          <xdr:row>13</xdr:row>
          <xdr:rowOff>76200</xdr:rowOff>
        </xdr:from>
        <xdr:to>
          <xdr:col>2</xdr:col>
          <xdr:colOff>601980</xdr:colOff>
          <xdr:row>14</xdr:row>
          <xdr:rowOff>99060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C</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10</xdr:row>
          <xdr:rowOff>7620</xdr:rowOff>
        </xdr:from>
        <xdr:to>
          <xdr:col>3</xdr:col>
          <xdr:colOff>0</xdr:colOff>
          <xdr:row>12</xdr:row>
          <xdr:rowOff>7620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U" sz="800" b="0" i="0" u="none" strike="noStrike" baseline="0">
                  <a:solidFill>
                    <a:srgbClr val="000000"/>
                  </a:solidFill>
                  <a:latin typeface="Tahoma"/>
                  <a:ea typeface="Tahoma"/>
                  <a:cs typeface="Tahoma"/>
                </a:rPr>
                <a:t>Phase Rotation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7620</xdr:rowOff>
        </xdr:from>
        <xdr:to>
          <xdr:col>3</xdr:col>
          <xdr:colOff>0</xdr:colOff>
          <xdr:row>15</xdr:row>
          <xdr:rowOff>7620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U" sz="800" b="0" i="0" u="none" strike="noStrike" baseline="0">
                  <a:solidFill>
                    <a:srgbClr val="000000"/>
                  </a:solidFill>
                  <a:latin typeface="Tahoma"/>
                  <a:ea typeface="Tahoma"/>
                  <a:cs typeface="Tahoma"/>
                </a:rPr>
                <a:t>Base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16</xdr:row>
          <xdr:rowOff>0</xdr:rowOff>
        </xdr:from>
        <xdr:to>
          <xdr:col>2</xdr:col>
          <xdr:colOff>655320</xdr:colOff>
          <xdr:row>18</xdr:row>
          <xdr:rowOff>0</xdr:rowOff>
        </xdr:to>
        <xdr:sp macro="" textlink="">
          <xdr:nvSpPr>
            <xdr:cNvPr id="1032" name="Group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U" sz="800" b="0" i="0" u="none" strike="noStrike" baseline="0">
                  <a:solidFill>
                    <a:srgbClr val="000000"/>
                  </a:solidFill>
                  <a:latin typeface="Tahoma"/>
                  <a:ea typeface="Tahoma"/>
                  <a:cs typeface="Tahoma"/>
                </a:rPr>
                <a:t>Units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xdr:colOff>
          <xdr:row>16</xdr:row>
          <xdr:rowOff>76200</xdr:rowOff>
        </xdr:from>
        <xdr:to>
          <xdr:col>2</xdr:col>
          <xdr:colOff>60960</xdr:colOff>
          <xdr:row>17</xdr:row>
          <xdr:rowOff>99060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274320</xdr:colOff>
          <xdr:row>16</xdr:row>
          <xdr:rowOff>76200</xdr:rowOff>
        </xdr:from>
        <xdr:to>
          <xdr:col>2</xdr:col>
          <xdr:colOff>548640</xdr:colOff>
          <xdr:row>17</xdr:row>
          <xdr:rowOff>99060</xdr:rowOff>
        </xdr:to>
        <xdr:sp macro="" textlink="">
          <xdr:nvSpPr>
            <xdr:cNvPr id="1034" name="Option 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I</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19051</xdr:colOff>
      <xdr:row>19</xdr:row>
      <xdr:rowOff>19049</xdr:rowOff>
    </xdr:from>
    <xdr:to>
      <xdr:col>6</xdr:col>
      <xdr:colOff>457200</xdr:colOff>
      <xdr:row>33</xdr:row>
      <xdr:rowOff>123825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742950</xdr:colOff>
      <xdr:row>19</xdr:row>
      <xdr:rowOff>28575</xdr:rowOff>
    </xdr:from>
    <xdr:to>
      <xdr:col>12</xdr:col>
      <xdr:colOff>133350</xdr:colOff>
      <xdr:row>33</xdr:row>
      <xdr:rowOff>104775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53340</xdr:colOff>
          <xdr:row>13</xdr:row>
          <xdr:rowOff>68580</xdr:rowOff>
        </xdr:from>
        <xdr:to>
          <xdr:col>1</xdr:col>
          <xdr:colOff>297180</xdr:colOff>
          <xdr:row>14</xdr:row>
          <xdr:rowOff>91440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13</xdr:row>
          <xdr:rowOff>68580</xdr:rowOff>
        </xdr:from>
        <xdr:to>
          <xdr:col>2</xdr:col>
          <xdr:colOff>266700</xdr:colOff>
          <xdr:row>14</xdr:row>
          <xdr:rowOff>91440</xdr:rowOff>
        </xdr:to>
        <xdr:sp macro="" textlink="">
          <xdr:nvSpPr>
            <xdr:cNvPr id="2054" name="Option 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327660</xdr:colOff>
          <xdr:row>13</xdr:row>
          <xdr:rowOff>68580</xdr:rowOff>
        </xdr:from>
        <xdr:to>
          <xdr:col>2</xdr:col>
          <xdr:colOff>571500</xdr:colOff>
          <xdr:row>14</xdr:row>
          <xdr:rowOff>91440</xdr:rowOff>
        </xdr:to>
        <xdr:sp macro="" textlink="">
          <xdr:nvSpPr>
            <xdr:cNvPr id="2055" name="Option 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C</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7620</xdr:rowOff>
        </xdr:from>
        <xdr:to>
          <xdr:col>3</xdr:col>
          <xdr:colOff>0</xdr:colOff>
          <xdr:row>15</xdr:row>
          <xdr:rowOff>0</xdr:rowOff>
        </xdr:to>
        <xdr:sp macro="" textlink="">
          <xdr:nvSpPr>
            <xdr:cNvPr id="2056" name="Group Box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U" sz="800" b="0" i="0" u="none" strike="noStrike" baseline="0">
                  <a:solidFill>
                    <a:srgbClr val="000000"/>
                  </a:solidFill>
                  <a:latin typeface="Tahoma"/>
                  <a:ea typeface="Tahoma"/>
                  <a:cs typeface="Tahoma"/>
                </a:rPr>
                <a:t>Base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xdr:row>
          <xdr:rowOff>83820</xdr:rowOff>
        </xdr:from>
        <xdr:to>
          <xdr:col>2</xdr:col>
          <xdr:colOff>106680</xdr:colOff>
          <xdr:row>11</xdr:row>
          <xdr:rowOff>106680</xdr:rowOff>
        </xdr:to>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ABC</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83820</xdr:rowOff>
        </xdr:from>
        <xdr:to>
          <xdr:col>2</xdr:col>
          <xdr:colOff>563880</xdr:colOff>
          <xdr:row>11</xdr:row>
          <xdr:rowOff>106680</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ACB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3</xdr:col>
          <xdr:colOff>0</xdr:colOff>
          <xdr:row>12</xdr:row>
          <xdr:rowOff>7620</xdr:rowOff>
        </xdr:to>
        <xdr:sp macro="" textlink="">
          <xdr:nvSpPr>
            <xdr:cNvPr id="2059" name="Group Box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U" sz="800" b="0" i="0" u="none" strike="noStrike" baseline="0">
                  <a:solidFill>
                    <a:srgbClr val="000000"/>
                  </a:solidFill>
                  <a:latin typeface="Tahoma"/>
                  <a:ea typeface="Tahoma"/>
                  <a:cs typeface="Tahoma"/>
                </a:rPr>
                <a:t>Phase Rotation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16</xdr:row>
          <xdr:rowOff>0</xdr:rowOff>
        </xdr:from>
        <xdr:to>
          <xdr:col>2</xdr:col>
          <xdr:colOff>632460</xdr:colOff>
          <xdr:row>18</xdr:row>
          <xdr:rowOff>0</xdr:rowOff>
        </xdr:to>
        <xdr:sp macro="" textlink="">
          <xdr:nvSpPr>
            <xdr:cNvPr id="2060" name="Group Box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U" sz="800" b="0" i="0" u="none" strike="noStrike" baseline="0">
                  <a:solidFill>
                    <a:srgbClr val="000000"/>
                  </a:solidFill>
                  <a:latin typeface="Tahoma"/>
                  <a:ea typeface="Tahoma"/>
                  <a:cs typeface="Tahoma"/>
                </a:rPr>
                <a:t>Units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68580</xdr:rowOff>
        </xdr:from>
        <xdr:to>
          <xdr:col>2</xdr:col>
          <xdr:colOff>91440</xdr:colOff>
          <xdr:row>17</xdr:row>
          <xdr:rowOff>91440</xdr:rowOff>
        </xdr:to>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236220</xdr:colOff>
          <xdr:row>16</xdr:row>
          <xdr:rowOff>68580</xdr:rowOff>
        </xdr:from>
        <xdr:to>
          <xdr:col>2</xdr:col>
          <xdr:colOff>480060</xdr:colOff>
          <xdr:row>17</xdr:row>
          <xdr:rowOff>99060</xdr:rowOff>
        </xdr:to>
        <xdr:sp macro="" textlink="">
          <xdr:nvSpPr>
            <xdr:cNvPr id="2062" name="Option Butto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I</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P32"/>
  <sheetViews>
    <sheetView tabSelected="1" workbookViewId="0">
      <selection activeCell="I16" sqref="I16:N16"/>
    </sheetView>
  </sheetViews>
  <sheetFormatPr defaultRowHeight="14.4" x14ac:dyDescent="0.3"/>
  <cols>
    <col min="1" max="1" width="4.6640625" customWidth="1"/>
    <col min="6" max="6" width="4.44140625" customWidth="1"/>
    <col min="7" max="7" width="10.5546875" customWidth="1"/>
    <col min="13" max="13" width="6.33203125" customWidth="1"/>
  </cols>
  <sheetData>
    <row r="1" spans="1:16" x14ac:dyDescent="0.3">
      <c r="A1" s="26"/>
      <c r="B1" s="26"/>
      <c r="C1" s="26"/>
      <c r="D1" s="26"/>
      <c r="E1" s="26"/>
      <c r="F1" s="26"/>
      <c r="G1" s="26"/>
      <c r="H1" s="26"/>
      <c r="I1" s="26"/>
      <c r="J1" s="26"/>
      <c r="K1" s="26"/>
      <c r="L1" s="26"/>
      <c r="M1" s="26"/>
      <c r="N1" s="26"/>
      <c r="O1" s="26"/>
      <c r="P1" s="26"/>
    </row>
    <row r="2" spans="1:16" x14ac:dyDescent="0.3">
      <c r="A2" s="26"/>
      <c r="B2" s="27" t="s">
        <v>39</v>
      </c>
      <c r="C2" s="28"/>
      <c r="D2" s="28"/>
      <c r="E2" s="26"/>
      <c r="F2" s="26"/>
      <c r="G2" s="26"/>
      <c r="H2" s="48" t="s">
        <v>24</v>
      </c>
      <c r="I2" s="49"/>
      <c r="J2" s="49"/>
      <c r="K2" s="49"/>
      <c r="L2" s="49"/>
      <c r="M2" s="49"/>
      <c r="N2" s="50"/>
      <c r="O2" s="26"/>
      <c r="P2" s="26"/>
    </row>
    <row r="3" spans="1:16" x14ac:dyDescent="0.3">
      <c r="A3" s="26"/>
      <c r="B3" s="27" t="s">
        <v>23</v>
      </c>
      <c r="C3" s="28"/>
      <c r="D3" s="28"/>
      <c r="E3" s="26"/>
      <c r="F3" s="26"/>
      <c r="G3" s="26"/>
      <c r="H3" s="51"/>
      <c r="I3" s="52"/>
      <c r="J3" s="52"/>
      <c r="K3" s="52"/>
      <c r="L3" s="52"/>
      <c r="M3" s="52"/>
      <c r="N3" s="53"/>
      <c r="O3" s="26"/>
      <c r="P3" s="26"/>
    </row>
    <row r="4" spans="1:16" x14ac:dyDescent="0.3">
      <c r="A4" s="26"/>
      <c r="B4" s="26"/>
      <c r="C4" s="26"/>
      <c r="D4" s="26"/>
      <c r="E4" s="26"/>
      <c r="F4" s="26"/>
      <c r="G4" s="26"/>
      <c r="H4" s="54"/>
      <c r="I4" s="55"/>
      <c r="J4" s="55"/>
      <c r="K4" s="55"/>
      <c r="L4" s="55"/>
      <c r="M4" s="55"/>
      <c r="N4" s="56"/>
      <c r="O4" s="26"/>
      <c r="P4" s="26"/>
    </row>
    <row r="5" spans="1:16" x14ac:dyDescent="0.3">
      <c r="A5" s="26"/>
      <c r="B5" s="26"/>
      <c r="C5" s="26"/>
      <c r="D5" s="26"/>
      <c r="E5" s="26"/>
      <c r="F5" s="26"/>
      <c r="G5" s="26"/>
      <c r="H5" s="26"/>
      <c r="I5" s="26"/>
      <c r="J5" s="26"/>
      <c r="K5" s="26"/>
      <c r="L5" s="26"/>
      <c r="M5" s="26"/>
      <c r="N5" s="26"/>
      <c r="O5" s="26"/>
      <c r="P5" s="26"/>
    </row>
    <row r="6" spans="1:16" x14ac:dyDescent="0.3">
      <c r="A6" s="26"/>
      <c r="B6" s="26"/>
      <c r="C6" s="26"/>
      <c r="D6" s="26"/>
      <c r="E6" s="26"/>
      <c r="F6" s="26"/>
      <c r="G6" s="26"/>
      <c r="H6" s="26"/>
      <c r="I6" s="26"/>
      <c r="J6" s="26"/>
      <c r="K6" s="26"/>
      <c r="L6" s="26"/>
      <c r="M6" s="26"/>
      <c r="N6" s="26"/>
      <c r="O6" s="26"/>
      <c r="P6" s="26"/>
    </row>
    <row r="7" spans="1:16" x14ac:dyDescent="0.3">
      <c r="A7" s="26"/>
      <c r="B7" s="63" t="s">
        <v>38</v>
      </c>
      <c r="C7" s="64"/>
      <c r="D7" s="64"/>
      <c r="E7" s="64"/>
      <c r="F7" s="64"/>
      <c r="G7" s="65"/>
      <c r="H7" s="26"/>
      <c r="I7" s="63" t="s">
        <v>40</v>
      </c>
      <c r="J7" s="64"/>
      <c r="K7" s="64"/>
      <c r="L7" s="64"/>
      <c r="M7" s="64"/>
      <c r="N7" s="65"/>
      <c r="O7" s="26"/>
      <c r="P7" s="26"/>
    </row>
    <row r="8" spans="1:16" x14ac:dyDescent="0.3">
      <c r="A8" s="26"/>
      <c r="B8" s="57" t="s">
        <v>33</v>
      </c>
      <c r="C8" s="58"/>
      <c r="D8" s="58"/>
      <c r="E8" s="58"/>
      <c r="F8" s="58"/>
      <c r="G8" s="59"/>
      <c r="H8" s="26"/>
      <c r="I8" s="57" t="s">
        <v>34</v>
      </c>
      <c r="J8" s="58"/>
      <c r="K8" s="58"/>
      <c r="L8" s="58"/>
      <c r="M8" s="58"/>
      <c r="N8" s="59"/>
      <c r="O8" s="26"/>
      <c r="P8" s="26"/>
    </row>
    <row r="9" spans="1:16" x14ac:dyDescent="0.3">
      <c r="A9" s="26"/>
      <c r="B9" s="60"/>
      <c r="C9" s="61"/>
      <c r="D9" s="61"/>
      <c r="E9" s="61"/>
      <c r="F9" s="61"/>
      <c r="G9" s="62"/>
      <c r="H9" s="26"/>
      <c r="I9" s="60"/>
      <c r="J9" s="61"/>
      <c r="K9" s="61"/>
      <c r="L9" s="61"/>
      <c r="M9" s="61"/>
      <c r="N9" s="62"/>
      <c r="O9" s="26"/>
      <c r="P9" s="26"/>
    </row>
    <row r="10" spans="1:16" x14ac:dyDescent="0.3">
      <c r="A10" s="26"/>
      <c r="B10" s="19" t="s">
        <v>13</v>
      </c>
      <c r="C10" s="20"/>
      <c r="D10" s="20"/>
      <c r="E10" s="20"/>
      <c r="F10" s="20"/>
      <c r="G10" s="21"/>
      <c r="H10" s="26"/>
      <c r="I10" s="19" t="s">
        <v>13</v>
      </c>
      <c r="J10" s="20"/>
      <c r="K10" s="20"/>
      <c r="L10" s="20"/>
      <c r="M10" s="20"/>
      <c r="N10" s="21"/>
      <c r="O10" s="26"/>
      <c r="P10" s="26"/>
    </row>
    <row r="11" spans="1:16" x14ac:dyDescent="0.3">
      <c r="A11" s="26"/>
      <c r="B11" s="22" t="s">
        <v>37</v>
      </c>
      <c r="C11" s="20"/>
      <c r="D11" s="20"/>
      <c r="E11" s="20"/>
      <c r="F11" s="20"/>
      <c r="G11" s="21"/>
      <c r="H11" s="26"/>
      <c r="I11" s="22" t="s">
        <v>36</v>
      </c>
      <c r="J11" s="20"/>
      <c r="K11" s="20"/>
      <c r="L11" s="20"/>
      <c r="M11" s="20"/>
      <c r="N11" s="21"/>
      <c r="O11" s="26"/>
      <c r="P11" s="26"/>
    </row>
    <row r="12" spans="1:16" x14ac:dyDescent="0.3">
      <c r="A12" s="26"/>
      <c r="B12" s="22" t="s">
        <v>25</v>
      </c>
      <c r="C12" s="20"/>
      <c r="D12" s="20"/>
      <c r="E12" s="20"/>
      <c r="F12" s="20"/>
      <c r="G12" s="21"/>
      <c r="H12" s="26"/>
      <c r="I12" s="22" t="s">
        <v>25</v>
      </c>
      <c r="J12" s="20"/>
      <c r="K12" s="20"/>
      <c r="L12" s="20"/>
      <c r="M12" s="20"/>
      <c r="N12" s="21"/>
      <c r="O12" s="26"/>
      <c r="P12" s="26"/>
    </row>
    <row r="13" spans="1:16" x14ac:dyDescent="0.3">
      <c r="A13" s="26"/>
      <c r="B13" s="23" t="s">
        <v>35</v>
      </c>
      <c r="C13" s="24"/>
      <c r="D13" s="24"/>
      <c r="E13" s="24"/>
      <c r="F13" s="24"/>
      <c r="G13" s="25"/>
      <c r="H13" s="26"/>
      <c r="I13" s="23" t="s">
        <v>35</v>
      </c>
      <c r="J13" s="24"/>
      <c r="K13" s="24"/>
      <c r="L13" s="24"/>
      <c r="M13" s="24"/>
      <c r="N13" s="25"/>
      <c r="O13" s="26"/>
      <c r="P13" s="26"/>
    </row>
    <row r="14" spans="1:16" x14ac:dyDescent="0.3">
      <c r="A14" s="26"/>
      <c r="B14" s="26"/>
      <c r="C14" s="26"/>
      <c r="D14" s="26"/>
      <c r="E14" s="26"/>
      <c r="F14" s="26"/>
      <c r="G14" s="26"/>
      <c r="H14" s="26"/>
      <c r="I14" s="26"/>
      <c r="J14" s="26"/>
      <c r="K14" s="26"/>
      <c r="L14" s="26"/>
      <c r="M14" s="26"/>
      <c r="N14" s="26"/>
      <c r="O14" s="26"/>
      <c r="P14" s="26"/>
    </row>
    <row r="15" spans="1:16" x14ac:dyDescent="0.3">
      <c r="A15" s="26"/>
      <c r="B15" s="26" t="s">
        <v>32</v>
      </c>
      <c r="C15" s="26"/>
      <c r="D15" s="26"/>
      <c r="E15" s="26"/>
      <c r="F15" s="26"/>
      <c r="G15" s="26"/>
      <c r="H15" s="26"/>
      <c r="I15" s="26" t="s">
        <v>32</v>
      </c>
      <c r="J15" s="26"/>
      <c r="K15" s="26"/>
      <c r="L15" s="26"/>
      <c r="M15" s="26"/>
      <c r="N15" s="26"/>
      <c r="O15" s="26"/>
      <c r="P15" s="26"/>
    </row>
    <row r="16" spans="1:16" x14ac:dyDescent="0.3">
      <c r="A16" s="26"/>
      <c r="B16" s="66" t="str">
        <f>HYPERLINK("[Symmetrical Components Calculator.xlsm]'Phase to Symm Comp'!C7","Calculator for Phase to Symmetrical Components")</f>
        <v>Calculator for Phase to Symmetrical Components</v>
      </c>
      <c r="C16" s="66"/>
      <c r="D16" s="66"/>
      <c r="E16" s="66"/>
      <c r="F16" s="66"/>
      <c r="G16" s="66"/>
      <c r="H16" s="26"/>
      <c r="I16" s="66" t="str">
        <f>HYPERLINK("[Symmetrical Components Calculator.xlsm]'Symm Comp to Phase'!C7","Calculator for Symmetrical Components to Phase")</f>
        <v>Calculator for Symmetrical Components to Phase</v>
      </c>
      <c r="J16" s="66"/>
      <c r="K16" s="66"/>
      <c r="L16" s="66"/>
      <c r="M16" s="66"/>
      <c r="N16" s="66"/>
      <c r="O16" s="26"/>
      <c r="P16" s="26"/>
    </row>
    <row r="17" spans="1:16" x14ac:dyDescent="0.3">
      <c r="A17" s="26"/>
      <c r="B17" s="27"/>
      <c r="C17" s="26"/>
      <c r="D17" s="26"/>
      <c r="E17" s="26"/>
      <c r="F17" s="26"/>
      <c r="G17" s="26"/>
      <c r="H17" s="26"/>
      <c r="I17" s="27"/>
      <c r="J17" s="27"/>
      <c r="K17" s="27"/>
      <c r="L17" s="27"/>
      <c r="M17" s="26"/>
      <c r="N17" s="26"/>
      <c r="O17" s="26"/>
      <c r="P17" s="26"/>
    </row>
    <row r="18" spans="1:16" x14ac:dyDescent="0.3">
      <c r="A18" s="26"/>
      <c r="B18" s="26"/>
      <c r="C18" s="26"/>
      <c r="D18" s="26"/>
      <c r="E18" s="26"/>
      <c r="F18" s="26"/>
      <c r="G18" s="26"/>
      <c r="H18" s="26"/>
      <c r="I18" s="27"/>
      <c r="J18" s="27"/>
      <c r="K18" s="27"/>
      <c r="L18" s="27"/>
      <c r="M18" s="26"/>
      <c r="N18" s="26"/>
      <c r="O18" s="26"/>
      <c r="P18" s="26"/>
    </row>
    <row r="19" spans="1:16" x14ac:dyDescent="0.3">
      <c r="A19" s="26"/>
      <c r="B19" s="26"/>
      <c r="C19" s="26"/>
      <c r="D19" s="26"/>
      <c r="E19" s="26"/>
      <c r="F19" s="26"/>
      <c r="G19" s="26"/>
      <c r="H19" s="26"/>
      <c r="I19" s="27"/>
      <c r="J19" s="27"/>
      <c r="K19" s="27"/>
      <c r="L19" s="27"/>
      <c r="M19" s="26"/>
      <c r="N19" s="26"/>
      <c r="O19" s="26"/>
      <c r="P19" s="26"/>
    </row>
    <row r="20" spans="1:16" x14ac:dyDescent="0.3">
      <c r="A20" s="26"/>
      <c r="B20" s="26"/>
      <c r="C20" s="26"/>
      <c r="D20" s="26"/>
      <c r="E20" s="26"/>
      <c r="F20" s="26"/>
      <c r="G20" s="26"/>
      <c r="H20" s="26"/>
      <c r="I20" s="26"/>
      <c r="J20" s="26"/>
      <c r="K20" s="26"/>
      <c r="L20" s="26"/>
      <c r="M20" s="26"/>
      <c r="N20" s="26"/>
      <c r="O20" s="26"/>
      <c r="P20" s="26"/>
    </row>
    <row r="21" spans="1:16" x14ac:dyDescent="0.3">
      <c r="A21" s="26"/>
      <c r="B21" s="26"/>
      <c r="C21" s="26"/>
      <c r="D21" s="26"/>
      <c r="E21" s="26"/>
      <c r="F21" s="26"/>
      <c r="G21" s="26"/>
      <c r="H21" s="26"/>
      <c r="I21" s="26"/>
      <c r="J21" s="26"/>
      <c r="K21" s="26"/>
      <c r="L21" s="26"/>
      <c r="M21" s="26"/>
      <c r="N21" s="26"/>
      <c r="O21" s="26"/>
      <c r="P21" s="26"/>
    </row>
    <row r="22" spans="1:16" x14ac:dyDescent="0.3">
      <c r="A22" s="26"/>
      <c r="B22" s="26"/>
      <c r="C22" s="26"/>
      <c r="D22" s="26"/>
      <c r="E22" s="26"/>
      <c r="F22" s="26"/>
      <c r="G22" s="26"/>
      <c r="H22" s="26"/>
      <c r="I22" s="26"/>
      <c r="J22" s="26"/>
      <c r="K22" s="26"/>
      <c r="L22" s="26"/>
      <c r="M22" s="26"/>
      <c r="N22" s="26"/>
      <c r="O22" s="26"/>
      <c r="P22" s="26"/>
    </row>
    <row r="23" spans="1:16" x14ac:dyDescent="0.3">
      <c r="A23" s="26"/>
      <c r="B23" s="26"/>
      <c r="C23" s="26"/>
      <c r="D23" s="26"/>
      <c r="E23" s="26"/>
      <c r="F23" s="26"/>
      <c r="G23" s="26"/>
      <c r="H23" s="26"/>
      <c r="I23" s="26"/>
      <c r="J23" s="26"/>
      <c r="K23" s="26"/>
      <c r="L23" s="26"/>
      <c r="M23" s="26"/>
      <c r="N23" s="26"/>
      <c r="O23" s="26"/>
      <c r="P23" s="26"/>
    </row>
    <row r="24" spans="1:16" x14ac:dyDescent="0.3">
      <c r="A24" s="26"/>
      <c r="B24" s="26"/>
      <c r="C24" s="26"/>
      <c r="D24" s="26"/>
      <c r="E24" s="26"/>
      <c r="F24" s="26"/>
      <c r="G24" s="26"/>
      <c r="H24" s="26"/>
      <c r="I24" s="26"/>
      <c r="J24" s="26"/>
      <c r="K24" s="26"/>
      <c r="L24" s="26"/>
      <c r="M24" s="26"/>
      <c r="N24" s="26"/>
      <c r="O24" s="26"/>
      <c r="P24" s="26"/>
    </row>
    <row r="25" spans="1:16" x14ac:dyDescent="0.3">
      <c r="A25" s="26"/>
      <c r="B25" s="26"/>
      <c r="C25" s="26"/>
      <c r="D25" s="26"/>
      <c r="E25" s="26"/>
      <c r="F25" s="26"/>
      <c r="G25" s="26"/>
      <c r="H25" s="26"/>
      <c r="I25" s="26"/>
      <c r="J25" s="26"/>
      <c r="K25" s="26"/>
      <c r="L25" s="26"/>
      <c r="M25" s="26"/>
      <c r="N25" s="26"/>
      <c r="O25" s="26"/>
      <c r="P25" s="26"/>
    </row>
    <row r="26" spans="1:16" x14ac:dyDescent="0.3">
      <c r="A26" s="26"/>
      <c r="B26" s="26"/>
      <c r="C26" s="26"/>
      <c r="D26" s="26"/>
      <c r="E26" s="26"/>
      <c r="F26" s="26"/>
      <c r="G26" s="26"/>
      <c r="H26" s="26"/>
      <c r="I26" s="26"/>
      <c r="J26" s="26"/>
      <c r="K26" s="26"/>
      <c r="L26" s="26"/>
      <c r="M26" s="26"/>
      <c r="N26" s="26"/>
      <c r="O26" s="26"/>
      <c r="P26" s="26"/>
    </row>
    <row r="27" spans="1:16" x14ac:dyDescent="0.3">
      <c r="A27" s="26"/>
      <c r="B27" s="26"/>
      <c r="C27" s="26"/>
      <c r="D27" s="26"/>
      <c r="E27" s="26"/>
      <c r="F27" s="26"/>
      <c r="G27" s="26"/>
      <c r="H27" s="26"/>
      <c r="I27" s="26"/>
      <c r="J27" s="26"/>
      <c r="K27" s="26"/>
      <c r="L27" s="26"/>
      <c r="M27" s="26"/>
      <c r="N27" s="26"/>
      <c r="O27" s="26"/>
      <c r="P27" s="26"/>
    </row>
    <row r="28" spans="1:16" x14ac:dyDescent="0.3">
      <c r="A28" s="26"/>
      <c r="B28" s="26"/>
      <c r="C28" s="26"/>
      <c r="D28" s="26"/>
      <c r="E28" s="26"/>
      <c r="F28" s="26"/>
      <c r="G28" s="26"/>
      <c r="H28" s="26"/>
      <c r="I28" s="26"/>
      <c r="J28" s="26"/>
      <c r="K28" s="26"/>
      <c r="L28" s="26"/>
      <c r="M28" s="26"/>
      <c r="N28" s="26"/>
      <c r="O28" s="26"/>
      <c r="P28" s="26"/>
    </row>
    <row r="29" spans="1:16" x14ac:dyDescent="0.3">
      <c r="A29" s="26"/>
      <c r="B29" s="26"/>
      <c r="C29" s="26"/>
      <c r="D29" s="26"/>
      <c r="E29" s="26"/>
      <c r="F29" s="26"/>
      <c r="G29" s="26"/>
      <c r="H29" s="26"/>
      <c r="I29" s="26"/>
      <c r="J29" s="26"/>
      <c r="K29" s="26"/>
      <c r="L29" s="26"/>
      <c r="M29" s="26"/>
      <c r="N29" s="26"/>
      <c r="O29" s="26"/>
      <c r="P29" s="26"/>
    </row>
    <row r="30" spans="1:16" x14ac:dyDescent="0.3">
      <c r="A30" s="26"/>
      <c r="B30" s="26"/>
      <c r="C30" s="26"/>
      <c r="D30" s="26"/>
      <c r="E30" s="26"/>
      <c r="F30" s="26"/>
      <c r="G30" s="26"/>
      <c r="H30" s="26"/>
      <c r="I30" s="26"/>
      <c r="J30" s="26"/>
      <c r="K30" s="26"/>
      <c r="L30" s="26"/>
      <c r="M30" s="26"/>
      <c r="N30" s="26"/>
      <c r="O30" s="26"/>
      <c r="P30" s="26"/>
    </row>
    <row r="31" spans="1:16" x14ac:dyDescent="0.3">
      <c r="A31" s="26"/>
      <c r="B31" s="26"/>
      <c r="C31" s="26"/>
      <c r="D31" s="26"/>
      <c r="E31" s="26"/>
      <c r="F31" s="26"/>
      <c r="G31" s="26"/>
      <c r="H31" s="26"/>
      <c r="I31" s="26"/>
      <c r="J31" s="26"/>
      <c r="K31" s="26"/>
      <c r="L31" s="26"/>
      <c r="M31" s="26"/>
      <c r="N31" s="26"/>
      <c r="O31" s="26"/>
      <c r="P31" s="26"/>
    </row>
    <row r="32" spans="1:16" x14ac:dyDescent="0.3">
      <c r="A32" s="26"/>
      <c r="B32" s="26"/>
      <c r="C32" s="26"/>
      <c r="D32" s="26"/>
      <c r="E32" s="26"/>
      <c r="F32" s="26"/>
      <c r="G32" s="26"/>
      <c r="H32" s="26"/>
      <c r="I32" s="26"/>
      <c r="J32" s="26"/>
      <c r="K32" s="26"/>
      <c r="L32" s="26"/>
      <c r="M32" s="26"/>
      <c r="N32" s="26"/>
      <c r="O32" s="26"/>
      <c r="P32" s="26"/>
    </row>
  </sheetData>
  <sheetProtection password="CD9A" sheet="1" objects="1" scenarios="1" selectLockedCells="1"/>
  <mergeCells count="7">
    <mergeCell ref="B16:G16"/>
    <mergeCell ref="I16:N16"/>
    <mergeCell ref="H2:N4"/>
    <mergeCell ref="B8:G9"/>
    <mergeCell ref="B7:G7"/>
    <mergeCell ref="I8:N9"/>
    <mergeCell ref="I7:N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72"/>
  <sheetViews>
    <sheetView workbookViewId="0">
      <selection activeCell="K2" sqref="K2:L2"/>
    </sheetView>
  </sheetViews>
  <sheetFormatPr defaultRowHeight="14.4" x14ac:dyDescent="0.3"/>
  <cols>
    <col min="1" max="1" width="6.5546875" customWidth="1"/>
    <col min="2" max="2" width="7.33203125" customWidth="1"/>
    <col min="3" max="3" width="12.44140625" customWidth="1"/>
    <col min="4" max="4" width="11.5546875" customWidth="1"/>
    <col min="5" max="5" width="5.5546875" customWidth="1"/>
    <col min="6" max="6" width="7.109375" customWidth="1"/>
    <col min="7" max="7" width="10.6640625" customWidth="1"/>
    <col min="8" max="8" width="10.44140625" customWidth="1"/>
    <col min="9" max="9" width="6.109375" customWidth="1"/>
    <col min="10" max="10" width="6.6640625" customWidth="1"/>
    <col min="11" max="11" width="10.5546875" customWidth="1"/>
    <col min="12" max="12" width="9.6640625" bestFit="1" customWidth="1"/>
    <col min="14" max="14" width="12.6640625" bestFit="1" customWidth="1"/>
  </cols>
  <sheetData>
    <row r="1" spans="1:15" x14ac:dyDescent="0.3">
      <c r="A1" s="26"/>
      <c r="B1" s="26"/>
      <c r="C1" s="26"/>
      <c r="D1" s="26"/>
      <c r="E1" s="26"/>
      <c r="F1" s="26"/>
      <c r="G1" s="26"/>
      <c r="H1" s="26"/>
      <c r="I1" s="26"/>
      <c r="J1" s="26"/>
      <c r="K1" s="26"/>
      <c r="L1" s="26"/>
      <c r="M1" s="26"/>
      <c r="N1" s="26"/>
    </row>
    <row r="2" spans="1:15" ht="18.75" customHeight="1" x14ac:dyDescent="0.35">
      <c r="A2" s="26"/>
      <c r="B2" s="30" t="s">
        <v>38</v>
      </c>
      <c r="C2" s="28"/>
      <c r="D2" s="28"/>
      <c r="E2" s="26"/>
      <c r="F2" s="31"/>
      <c r="G2" s="32"/>
      <c r="H2" s="32"/>
      <c r="I2" s="46"/>
      <c r="J2" s="46"/>
      <c r="K2" s="68" t="str">
        <f>HYPERLINK("[Symmetrical Components Calculator.xlsm]'Instructions'!A1","Back to Instructions")</f>
        <v>Back to Instructions</v>
      </c>
      <c r="L2" s="68"/>
      <c r="M2" s="46"/>
      <c r="N2" s="26"/>
    </row>
    <row r="3" spans="1:15" x14ac:dyDescent="0.3">
      <c r="A3" s="26"/>
      <c r="B3" s="27"/>
      <c r="C3" s="28"/>
      <c r="D3" s="28"/>
      <c r="E3" s="26"/>
      <c r="F3" s="33"/>
      <c r="G3" s="32"/>
      <c r="H3" s="32"/>
      <c r="I3" s="32"/>
      <c r="J3" s="32"/>
      <c r="K3" s="32"/>
      <c r="L3" s="32"/>
      <c r="M3" s="32"/>
      <c r="N3" s="26"/>
    </row>
    <row r="4" spans="1:15" x14ac:dyDescent="0.3">
      <c r="A4" s="26"/>
      <c r="B4" s="67" t="s">
        <v>26</v>
      </c>
      <c r="C4" s="67"/>
      <c r="D4" s="67"/>
      <c r="E4" s="34"/>
      <c r="F4" s="67" t="s">
        <v>28</v>
      </c>
      <c r="G4" s="67"/>
      <c r="H4" s="67"/>
      <c r="I4" s="26"/>
      <c r="J4" s="67" t="s">
        <v>27</v>
      </c>
      <c r="K4" s="67"/>
      <c r="L4" s="67"/>
      <c r="M4" s="26"/>
      <c r="N4" s="26"/>
    </row>
    <row r="5" spans="1:15" s="6" customFormat="1" x14ac:dyDescent="0.3">
      <c r="A5" s="29"/>
      <c r="B5" s="67"/>
      <c r="C5" s="67"/>
      <c r="D5" s="67"/>
      <c r="E5" s="34"/>
      <c r="F5" s="67"/>
      <c r="G5" s="67"/>
      <c r="H5" s="67"/>
      <c r="I5" s="29"/>
      <c r="J5" s="67"/>
      <c r="K5" s="67"/>
      <c r="L5" s="67"/>
      <c r="M5" s="29"/>
      <c r="N5" s="29"/>
    </row>
    <row r="6" spans="1:15" s="6" customFormat="1" x14ac:dyDescent="0.3">
      <c r="A6" s="29"/>
      <c r="B6"/>
      <c r="C6" s="8" t="s">
        <v>0</v>
      </c>
      <c r="D6" s="8" t="s">
        <v>1</v>
      </c>
      <c r="E6" s="34"/>
      <c r="F6"/>
      <c r="G6" s="7" t="s">
        <v>0</v>
      </c>
      <c r="H6" s="7" t="s">
        <v>1</v>
      </c>
      <c r="I6" s="29"/>
      <c r="J6" s="5"/>
      <c r="K6" s="7" t="s">
        <v>8</v>
      </c>
      <c r="L6" s="7" t="s">
        <v>15</v>
      </c>
      <c r="M6" s="29"/>
      <c r="N6" s="29"/>
    </row>
    <row r="7" spans="1:15" s="6" customFormat="1" ht="15" customHeight="1" x14ac:dyDescent="0.3">
      <c r="A7" s="29"/>
      <c r="B7" s="7" t="str">
        <f>IF(Sheet3!$D$7=1,"Va","Ia")</f>
        <v>Ia</v>
      </c>
      <c r="C7" s="9">
        <v>25</v>
      </c>
      <c r="D7" s="9">
        <v>85</v>
      </c>
      <c r="E7" s="34"/>
      <c r="F7" s="7" t="str">
        <f>IF(Sheet3!$D$7=1,"V0","I0")</f>
        <v>I0</v>
      </c>
      <c r="G7" s="13">
        <f>IF(ABS(IMABS(E28))&lt;0.00001,0,IMABS(E28))</f>
        <v>11.947043749225198</v>
      </c>
      <c r="H7" s="13">
        <f>IF(ABS(IMARGUMENT(E28)*180/PI())&lt;0.00001,0,IMARGUMENT(E28)*180/PI())</f>
        <v>138.71432396372387</v>
      </c>
      <c r="I7" s="29"/>
      <c r="J7" s="7" t="str">
        <f>IF(Sheet3!$D$7=1,"Va","Ia")</f>
        <v>Ia</v>
      </c>
      <c r="K7" s="12">
        <f t="shared" ref="K7:K12" si="0">IMREAL(E24)</f>
        <v>2.1788935686914499</v>
      </c>
      <c r="L7" s="13">
        <f t="shared" ref="L7:L12" si="1">IF(ABS(IMAGINARY(E24))&lt;0.000001,0,IMAGINARY(E24))</f>
        <v>24.904867452293601</v>
      </c>
      <c r="M7" s="29"/>
      <c r="N7" s="29"/>
    </row>
    <row r="8" spans="1:15" x14ac:dyDescent="0.3">
      <c r="A8" s="26"/>
      <c r="B8" s="7" t="str">
        <f>IF(Sheet3!$D$7=1,"Vb","Ib")</f>
        <v>Ib</v>
      </c>
      <c r="C8" s="9">
        <v>18</v>
      </c>
      <c r="D8" s="9">
        <v>-135</v>
      </c>
      <c r="E8" s="38"/>
      <c r="F8" s="7" t="str">
        <f>IF(Sheet3!$D$7=1,"V1","I1")</f>
        <v>I1</v>
      </c>
      <c r="G8" s="13">
        <f>IF(ABS(IMABS(E29))&lt;0.00001,0,IMABS(E29))</f>
        <v>15.79123751095106</v>
      </c>
      <c r="H8" s="13">
        <f>IF(ABS(IMARGUMENT(E29)*180/PI())&lt;0.00001,0,IMARGUMENT(E29)*180/PI())</f>
        <v>37.285663336093229</v>
      </c>
      <c r="I8" s="26"/>
      <c r="J8" s="7" t="str">
        <f>IF(Sheet3!$D$7=1,"Vb","Ib")</f>
        <v>Ib</v>
      </c>
      <c r="K8" s="13">
        <f t="shared" si="0"/>
        <v>-12.7279220613579</v>
      </c>
      <c r="L8" s="13">
        <f t="shared" si="1"/>
        <v>-12.7279220613579</v>
      </c>
      <c r="M8" s="26"/>
      <c r="N8" s="26"/>
      <c r="O8" s="10"/>
    </row>
    <row r="9" spans="1:15" x14ac:dyDescent="0.3">
      <c r="A9" s="26"/>
      <c r="B9" s="7" t="str">
        <f>IF(Sheet3!$D$7=1,"Vc","Ic")</f>
        <v>Ic</v>
      </c>
      <c r="C9" s="9">
        <v>20</v>
      </c>
      <c r="D9" s="9">
        <v>145</v>
      </c>
      <c r="E9" s="26"/>
      <c r="F9" s="7" t="str">
        <f>IF(Sheet3!$D$7=1,"V2","I2")</f>
        <v>I2</v>
      </c>
      <c r="G9" s="13">
        <f>IF(ABS(IMABS(E27))&lt;0.00001,0,IMABS(E27))</f>
        <v>7.5875971290979676</v>
      </c>
      <c r="H9" s="13">
        <f>IF(ABS(IMARGUMENT(E27)*180/PI())&lt;0.00001,0,IMARGUMENT(E27)*180/PI())</f>
        <v>100.69147931227519</v>
      </c>
      <c r="I9" s="26"/>
      <c r="J9" s="7" t="str">
        <f>IF(Sheet3!$D$7=1,"Vc","Ic")</f>
        <v>Ic</v>
      </c>
      <c r="K9" s="13">
        <f t="shared" si="0"/>
        <v>-16.383040885779799</v>
      </c>
      <c r="L9" s="13">
        <f t="shared" si="1"/>
        <v>11.4715287270209</v>
      </c>
      <c r="M9" s="26"/>
      <c r="N9" s="26"/>
      <c r="O9" s="10"/>
    </row>
    <row r="10" spans="1:15" x14ac:dyDescent="0.3">
      <c r="A10" s="26"/>
      <c r="B10" s="26"/>
      <c r="C10" s="26"/>
      <c r="D10" s="26"/>
      <c r="E10" s="26"/>
      <c r="F10" s="26"/>
      <c r="G10" s="26"/>
      <c r="H10" s="26"/>
      <c r="I10" s="26"/>
      <c r="J10" s="7" t="str">
        <f>IF(Sheet3!$D$7=1,"V2","I2")</f>
        <v>I2</v>
      </c>
      <c r="K10" s="13">
        <f t="shared" si="0"/>
        <v>-1.40765469936903</v>
      </c>
      <c r="L10" s="13">
        <f t="shared" si="1"/>
        <v>7.4558794545539699</v>
      </c>
      <c r="M10" s="26"/>
      <c r="N10" s="26"/>
      <c r="O10" s="10"/>
    </row>
    <row r="11" spans="1:15" x14ac:dyDescent="0.3">
      <c r="A11" s="26"/>
      <c r="B11" s="11"/>
      <c r="C11" s="11"/>
      <c r="D11" s="26"/>
      <c r="E11" s="26"/>
      <c r="F11" s="26"/>
      <c r="G11" s="26"/>
      <c r="H11" s="26"/>
      <c r="I11" s="26"/>
      <c r="J11" s="7" t="str">
        <f>IF(Sheet3!$D$7=1,"V0","I0")</f>
        <v>I0</v>
      </c>
      <c r="K11" s="13">
        <f t="shared" si="0"/>
        <v>-8.9773564594821007</v>
      </c>
      <c r="L11" s="13">
        <f t="shared" si="1"/>
        <v>7.8828247059855299</v>
      </c>
      <c r="M11" s="26"/>
      <c r="N11" s="26"/>
      <c r="O11" s="10"/>
    </row>
    <row r="12" spans="1:15" x14ac:dyDescent="0.3">
      <c r="A12" s="26"/>
      <c r="B12" s="11"/>
      <c r="C12" s="11"/>
      <c r="D12" s="26"/>
      <c r="E12" s="26"/>
      <c r="F12" s="26"/>
      <c r="G12" s="26"/>
      <c r="H12" s="26"/>
      <c r="I12" s="26"/>
      <c r="J12" s="7" t="str">
        <f>IF(Sheet3!$D$7=1,"V1","I1")</f>
        <v>I1</v>
      </c>
      <c r="K12" s="13">
        <f t="shared" si="0"/>
        <v>12.5639047275425</v>
      </c>
      <c r="L12" s="13">
        <f t="shared" si="1"/>
        <v>9.5661632917540693</v>
      </c>
      <c r="M12" s="26"/>
      <c r="N12" s="26"/>
      <c r="O12" s="10"/>
    </row>
    <row r="13" spans="1:15" x14ac:dyDescent="0.3">
      <c r="A13" s="26"/>
      <c r="B13" s="26"/>
      <c r="C13" s="26"/>
      <c r="D13" s="26"/>
      <c r="E13" s="26"/>
      <c r="F13" s="26"/>
      <c r="G13" s="26"/>
      <c r="H13" s="26"/>
      <c r="I13" s="26"/>
      <c r="J13" s="26"/>
      <c r="K13" s="26"/>
      <c r="L13" s="26"/>
      <c r="M13" s="26"/>
      <c r="N13" s="26"/>
      <c r="O13" s="10"/>
    </row>
    <row r="14" spans="1:15" x14ac:dyDescent="0.3">
      <c r="A14" s="26"/>
      <c r="B14" s="11"/>
      <c r="C14" s="11"/>
      <c r="D14" s="26"/>
      <c r="E14" s="26"/>
      <c r="F14" s="26"/>
      <c r="G14" s="26"/>
      <c r="H14" s="26"/>
      <c r="I14" s="26"/>
      <c r="J14" s="26"/>
      <c r="K14" s="26"/>
      <c r="L14" s="26"/>
      <c r="M14" s="26"/>
      <c r="N14" s="39"/>
      <c r="O14" s="10"/>
    </row>
    <row r="15" spans="1:15" x14ac:dyDescent="0.3">
      <c r="A15" s="26"/>
      <c r="B15" s="11"/>
      <c r="C15" s="11"/>
      <c r="D15" s="26"/>
      <c r="E15" s="26"/>
      <c r="F15" s="26"/>
      <c r="G15" s="26"/>
      <c r="H15" s="26"/>
      <c r="I15" s="26"/>
      <c r="J15" s="26"/>
      <c r="K15" s="26"/>
      <c r="L15" s="26"/>
      <c r="M15" s="26"/>
      <c r="N15" s="26"/>
      <c r="O15" s="10"/>
    </row>
    <row r="16" spans="1:15" x14ac:dyDescent="0.3">
      <c r="A16" s="26"/>
      <c r="B16" s="26"/>
      <c r="C16" s="26"/>
      <c r="D16" s="26"/>
      <c r="E16" s="26"/>
      <c r="F16" s="26"/>
      <c r="G16" s="26"/>
      <c r="H16" s="26"/>
      <c r="I16" s="26"/>
      <c r="J16" s="26"/>
      <c r="K16" s="26"/>
      <c r="L16" s="26"/>
      <c r="M16" s="26"/>
      <c r="N16" s="26"/>
      <c r="O16" s="10"/>
    </row>
    <row r="17" spans="1:18" x14ac:dyDescent="0.3">
      <c r="A17" s="26"/>
      <c r="B17" s="11"/>
      <c r="C17" s="11"/>
      <c r="D17" s="26"/>
      <c r="E17" s="26"/>
      <c r="F17" s="26"/>
      <c r="G17" s="26"/>
      <c r="H17" s="26"/>
      <c r="I17" s="26"/>
      <c r="J17" s="26"/>
      <c r="K17" s="40"/>
      <c r="L17" s="41"/>
      <c r="M17" s="28"/>
      <c r="N17" s="26"/>
      <c r="O17" s="10"/>
    </row>
    <row r="18" spans="1:18" x14ac:dyDescent="0.3">
      <c r="A18" s="26"/>
      <c r="B18" s="11"/>
      <c r="C18" s="11"/>
      <c r="D18" s="26"/>
      <c r="E18" s="26"/>
      <c r="F18" s="26"/>
      <c r="G18" s="26"/>
      <c r="H18" s="26"/>
      <c r="I18" s="26"/>
      <c r="J18" s="26"/>
      <c r="K18" s="40"/>
      <c r="L18" s="41"/>
      <c r="M18" s="28"/>
      <c r="N18" s="26"/>
      <c r="O18" s="10"/>
    </row>
    <row r="19" spans="1:18" x14ac:dyDescent="0.3">
      <c r="A19" s="26"/>
      <c r="B19" s="26"/>
      <c r="C19" s="26"/>
      <c r="D19" s="26"/>
      <c r="E19" s="26"/>
      <c r="F19" s="26"/>
      <c r="G19" s="26"/>
      <c r="H19" s="26"/>
      <c r="I19" s="26"/>
      <c r="J19" s="26"/>
      <c r="K19" s="40"/>
      <c r="L19" s="41"/>
      <c r="M19" s="28"/>
      <c r="N19" s="26"/>
      <c r="O19" s="10"/>
    </row>
    <row r="20" spans="1:18" x14ac:dyDescent="0.3">
      <c r="A20" s="26"/>
      <c r="B20" s="26"/>
      <c r="C20" s="26"/>
      <c r="D20" s="26"/>
      <c r="E20" s="26"/>
      <c r="F20" s="26"/>
      <c r="G20" s="26"/>
      <c r="H20" s="26"/>
      <c r="I20" s="26"/>
      <c r="J20" s="26"/>
      <c r="K20" s="26"/>
      <c r="L20" s="26"/>
      <c r="M20" s="26"/>
      <c r="N20" s="26"/>
      <c r="O20" s="10"/>
    </row>
    <row r="21" spans="1:18" x14ac:dyDescent="0.3">
      <c r="A21" s="26"/>
      <c r="B21" s="26"/>
      <c r="C21" s="26"/>
      <c r="D21" s="26"/>
      <c r="E21" s="26"/>
      <c r="F21" s="26"/>
      <c r="G21" s="26"/>
      <c r="H21" s="26"/>
      <c r="I21" s="26"/>
      <c r="J21" s="26"/>
      <c r="K21" s="26"/>
      <c r="L21" s="26"/>
      <c r="M21" s="26"/>
      <c r="N21" s="42"/>
      <c r="P21" s="15"/>
      <c r="Q21" s="15"/>
      <c r="R21" s="15"/>
    </row>
    <row r="22" spans="1:18" x14ac:dyDescent="0.3">
      <c r="A22" s="26"/>
      <c r="B22" s="26"/>
      <c r="C22" s="26"/>
      <c r="D22" s="26"/>
      <c r="E22" s="26"/>
      <c r="F22" s="26"/>
      <c r="G22" s="26"/>
      <c r="H22" s="26"/>
      <c r="I22" s="26"/>
      <c r="J22" s="26"/>
      <c r="K22" s="26"/>
      <c r="L22" s="26"/>
      <c r="M22" s="26"/>
      <c r="N22" s="42"/>
      <c r="O22" s="47"/>
      <c r="P22" s="15"/>
      <c r="Q22" s="15"/>
      <c r="R22" s="15"/>
    </row>
    <row r="23" spans="1:18" x14ac:dyDescent="0.3">
      <c r="A23" s="26"/>
      <c r="B23" s="26"/>
      <c r="C23" s="26"/>
      <c r="D23" s="26"/>
      <c r="E23" s="26"/>
      <c r="F23" s="26"/>
      <c r="G23" s="26"/>
      <c r="H23" s="26"/>
      <c r="I23" s="26"/>
      <c r="J23" s="26"/>
      <c r="K23" s="26"/>
      <c r="L23" s="26"/>
      <c r="M23" s="26"/>
      <c r="N23" s="42"/>
      <c r="O23" s="14"/>
      <c r="P23" s="15"/>
      <c r="Q23" s="15"/>
      <c r="R23" s="15"/>
    </row>
    <row r="24" spans="1:18" x14ac:dyDescent="0.3">
      <c r="A24" s="26"/>
      <c r="B24" s="26"/>
      <c r="C24" s="26"/>
      <c r="D24" s="26"/>
      <c r="E24" s="35" t="str">
        <f>COMPLEX(C7*COS(RADIANS(D7)),C7*SIN(RADIANS(D7)))</f>
        <v>2.17889356869145+24.9048674522936i</v>
      </c>
      <c r="F24" s="27"/>
      <c r="G24" s="28"/>
      <c r="H24" s="28"/>
      <c r="I24" s="28"/>
      <c r="J24" s="26"/>
      <c r="K24" s="26"/>
      <c r="L24" s="26"/>
      <c r="M24" s="26"/>
      <c r="N24" s="42"/>
      <c r="O24" s="15"/>
      <c r="P24" s="15"/>
      <c r="Q24" s="15"/>
      <c r="R24" s="15"/>
    </row>
    <row r="25" spans="1:18" x14ac:dyDescent="0.3">
      <c r="A25" s="26"/>
      <c r="B25" s="26"/>
      <c r="C25" s="26"/>
      <c r="D25" s="26"/>
      <c r="E25" s="35" t="str">
        <f>COMPLEX(C8*COS(RADIANS(D8)),C8*SIN(RADIANS(D8)))</f>
        <v>-12.7279220613579-12.7279220613579i</v>
      </c>
      <c r="F25" s="27"/>
      <c r="G25" s="28"/>
      <c r="H25" s="28"/>
      <c r="I25" s="28"/>
      <c r="J25" s="26"/>
      <c r="K25" s="26"/>
      <c r="L25" s="26"/>
      <c r="M25" s="26"/>
      <c r="N25" s="42"/>
      <c r="O25" s="15"/>
      <c r="P25" s="15"/>
      <c r="Q25" s="15"/>
      <c r="R25" s="15"/>
    </row>
    <row r="26" spans="1:18" x14ac:dyDescent="0.3">
      <c r="A26" s="26"/>
      <c r="B26" s="26"/>
      <c r="C26" s="26"/>
      <c r="D26" s="26"/>
      <c r="E26" s="35" t="str">
        <f>COMPLEX(C9*COS(RADIANS(D9)),C9*SIN(RADIANS(D9)))</f>
        <v>-16.3830408857798+11.4715287270209i</v>
      </c>
      <c r="F26" s="27"/>
      <c r="G26" s="28"/>
      <c r="H26" s="28"/>
      <c r="I26" s="28"/>
      <c r="J26" s="26"/>
      <c r="K26" s="27"/>
      <c r="L26" s="28"/>
      <c r="M26" s="28"/>
      <c r="N26" s="43"/>
      <c r="O26" s="16"/>
      <c r="P26" s="15"/>
      <c r="Q26" s="15"/>
      <c r="R26" s="15"/>
    </row>
    <row r="27" spans="1:18" x14ac:dyDescent="0.3">
      <c r="A27" s="26"/>
      <c r="B27" s="26"/>
      <c r="C27" s="26"/>
      <c r="D27" s="26"/>
      <c r="E27" s="35" t="str">
        <f>IF(Sheet3!$D$6=1,IMDIV(C66,3),IF(Sheet3!$D$6=2,IMDIV(H66,3),IMDIV(M66,3)))</f>
        <v>-1.40765469936903+7.45587945455397i</v>
      </c>
      <c r="F27" s="27"/>
      <c r="G27" s="28"/>
      <c r="H27" s="28"/>
      <c r="I27" s="28"/>
      <c r="J27" s="26"/>
      <c r="K27" s="27"/>
      <c r="L27" s="28"/>
      <c r="M27" s="28"/>
      <c r="N27" s="43"/>
      <c r="O27" s="16"/>
      <c r="P27" s="15"/>
      <c r="Q27" s="15"/>
      <c r="R27" s="15"/>
    </row>
    <row r="28" spans="1:18" x14ac:dyDescent="0.3">
      <c r="A28" s="26"/>
      <c r="B28" s="26"/>
      <c r="C28" s="26"/>
      <c r="D28" s="26"/>
      <c r="E28" s="35" t="str">
        <f>IF(Sheet3!$D$6=1,IMDIV(C67,3),IF(Sheet3!$D$6=2,IMDIV(H67,3),IMDIV(M67,3)))</f>
        <v>-8.9773564594821+7.88282470598553i</v>
      </c>
      <c r="F28" s="27"/>
      <c r="G28" s="28"/>
      <c r="H28" s="28"/>
      <c r="I28" s="28"/>
      <c r="J28" s="26"/>
      <c r="K28" s="27"/>
      <c r="L28" s="28"/>
      <c r="M28" s="28"/>
      <c r="N28" s="43"/>
      <c r="O28" s="16"/>
      <c r="P28" s="15"/>
      <c r="Q28" s="15"/>
      <c r="R28" s="15"/>
    </row>
    <row r="29" spans="1:18" x14ac:dyDescent="0.3">
      <c r="A29" s="26"/>
      <c r="B29" s="26"/>
      <c r="C29" s="26"/>
      <c r="D29" s="26"/>
      <c r="E29" s="35" t="str">
        <f>IF(Sheet3!$D$6=1,IMDIV(C68,3),IF(Sheet3!$D$6=2,IMDIV(H68,3),IMDIV(M68,3)))</f>
        <v>12.5639047275425+9.56616329175407i</v>
      </c>
      <c r="F29" s="27"/>
      <c r="G29" s="28"/>
      <c r="H29" s="28"/>
      <c r="I29" s="28"/>
      <c r="J29" s="26"/>
      <c r="K29" s="27"/>
      <c r="L29" s="28"/>
      <c r="M29" s="28"/>
      <c r="N29" s="43"/>
      <c r="O29" s="16"/>
      <c r="P29" s="15"/>
      <c r="Q29" s="15"/>
      <c r="R29" s="15"/>
    </row>
    <row r="30" spans="1:18" x14ac:dyDescent="0.3">
      <c r="A30" s="26"/>
      <c r="B30" s="36">
        <v>0</v>
      </c>
      <c r="C30" s="26"/>
      <c r="D30" s="26"/>
      <c r="E30" s="37"/>
      <c r="F30" s="36"/>
      <c r="G30" s="26"/>
      <c r="H30" s="26"/>
      <c r="I30" s="26"/>
      <c r="J30" s="26"/>
      <c r="K30" s="26"/>
      <c r="L30" s="26"/>
      <c r="M30" s="26"/>
      <c r="N30" s="42"/>
      <c r="O30" s="15"/>
      <c r="P30" s="15"/>
      <c r="Q30" s="15"/>
      <c r="R30" s="15"/>
    </row>
    <row r="31" spans="1:18" x14ac:dyDescent="0.3">
      <c r="A31" s="26"/>
      <c r="B31" s="26"/>
      <c r="C31" s="26"/>
      <c r="D31" s="26"/>
      <c r="E31" s="26"/>
      <c r="F31" s="36"/>
      <c r="G31" s="26"/>
      <c r="H31" s="26"/>
      <c r="I31" s="26"/>
      <c r="J31" s="26"/>
      <c r="K31" s="26"/>
      <c r="L31" s="26"/>
      <c r="M31" s="26"/>
      <c r="N31" s="42"/>
      <c r="O31" s="15"/>
      <c r="P31" s="15"/>
      <c r="Q31" s="15"/>
      <c r="R31" s="15"/>
    </row>
    <row r="32" spans="1:18" x14ac:dyDescent="0.3">
      <c r="A32" s="26"/>
      <c r="B32" s="26"/>
      <c r="C32" s="26"/>
      <c r="D32" s="26"/>
      <c r="E32" s="26"/>
      <c r="F32" s="26"/>
      <c r="G32" s="26"/>
      <c r="H32" s="26"/>
      <c r="I32" s="26"/>
      <c r="J32" s="26"/>
      <c r="K32" s="26"/>
      <c r="L32" s="26"/>
      <c r="M32" s="26"/>
      <c r="N32" s="42"/>
      <c r="O32" s="15"/>
      <c r="P32" s="15"/>
      <c r="Q32" s="15"/>
      <c r="R32" s="15"/>
    </row>
    <row r="33" spans="1:18" x14ac:dyDescent="0.3">
      <c r="A33" s="26"/>
      <c r="B33" s="26"/>
      <c r="C33" s="26"/>
      <c r="D33" s="26"/>
      <c r="E33" s="26"/>
      <c r="F33" s="26"/>
      <c r="G33" s="26"/>
      <c r="H33" s="26"/>
      <c r="I33" s="26"/>
      <c r="J33" s="26"/>
      <c r="K33" s="26"/>
      <c r="L33" s="26"/>
      <c r="M33" s="26"/>
      <c r="N33" s="42"/>
      <c r="O33" s="15"/>
      <c r="P33" s="15"/>
      <c r="Q33" s="15"/>
      <c r="R33" s="15"/>
    </row>
    <row r="34" spans="1:18" x14ac:dyDescent="0.3">
      <c r="A34" s="26"/>
      <c r="B34" s="26"/>
      <c r="C34" s="26"/>
      <c r="D34" s="26"/>
      <c r="E34" s="26"/>
      <c r="F34" s="26"/>
      <c r="G34" s="26"/>
      <c r="H34" s="26"/>
      <c r="I34" s="26"/>
      <c r="J34" s="26"/>
      <c r="K34" s="26"/>
      <c r="L34" s="26"/>
      <c r="M34" s="26"/>
      <c r="N34" s="26"/>
    </row>
    <row r="35" spans="1:18" x14ac:dyDescent="0.3">
      <c r="A35" s="26"/>
      <c r="B35" s="26"/>
      <c r="C35" s="26"/>
      <c r="D35" s="26"/>
      <c r="E35" s="26"/>
      <c r="F35" s="26"/>
      <c r="G35" s="26"/>
      <c r="H35" s="26"/>
      <c r="I35" s="26"/>
      <c r="J35" s="26"/>
      <c r="K35" s="26"/>
      <c r="L35" s="26"/>
      <c r="M35" s="26"/>
      <c r="N35" s="26"/>
    </row>
    <row r="36" spans="1:18" x14ac:dyDescent="0.3">
      <c r="A36" s="26"/>
      <c r="B36" s="26"/>
      <c r="C36" s="26"/>
      <c r="D36" s="26"/>
      <c r="E36" s="26"/>
      <c r="F36" s="26"/>
      <c r="G36" s="26"/>
      <c r="H36" s="26"/>
      <c r="I36" s="26"/>
      <c r="J36" s="26"/>
      <c r="K36" s="26"/>
      <c r="L36" s="26"/>
      <c r="M36" s="26"/>
      <c r="N36" s="26"/>
    </row>
    <row r="37" spans="1:18" x14ac:dyDescent="0.3">
      <c r="B37" s="26"/>
      <c r="C37" s="26"/>
      <c r="D37" s="26"/>
      <c r="E37" s="26"/>
      <c r="F37" s="26"/>
      <c r="G37" s="26"/>
      <c r="H37" s="26"/>
      <c r="I37" s="26"/>
      <c r="J37" s="26"/>
      <c r="K37" s="26"/>
      <c r="L37" s="26"/>
      <c r="M37" s="26"/>
      <c r="N37" s="26"/>
    </row>
    <row r="50" spans="2:16" x14ac:dyDescent="0.3">
      <c r="B50" s="1"/>
      <c r="C50" s="1" t="s">
        <v>20</v>
      </c>
      <c r="D50" s="1"/>
    </row>
    <row r="51" spans="2:16" x14ac:dyDescent="0.3">
      <c r="B51" s="1" t="s">
        <v>2</v>
      </c>
      <c r="C51" s="1">
        <f t="shared" ref="C51:C56" si="2">IF(AND(K7&lt;0.0000001,K7&gt;-0.0000001),0,K7)</f>
        <v>2.1788935686914499</v>
      </c>
      <c r="D51" s="1">
        <f t="shared" ref="D51:D56" si="3">L7</f>
        <v>24.904867452293601</v>
      </c>
    </row>
    <row r="52" spans="2:16" x14ac:dyDescent="0.3">
      <c r="B52" s="1" t="s">
        <v>3</v>
      </c>
      <c r="C52" s="1">
        <f t="shared" si="2"/>
        <v>-12.7279220613579</v>
      </c>
      <c r="D52" s="1">
        <f t="shared" si="3"/>
        <v>-12.7279220613579</v>
      </c>
    </row>
    <row r="53" spans="2:16" x14ac:dyDescent="0.3">
      <c r="B53" s="1" t="s">
        <v>4</v>
      </c>
      <c r="C53" s="1">
        <f t="shared" si="2"/>
        <v>-16.383040885779799</v>
      </c>
      <c r="D53" s="1">
        <f t="shared" si="3"/>
        <v>11.4715287270209</v>
      </c>
    </row>
    <row r="54" spans="2:16" x14ac:dyDescent="0.3">
      <c r="B54" s="1" t="s">
        <v>5</v>
      </c>
      <c r="C54" s="1">
        <f t="shared" si="2"/>
        <v>-1.40765469936903</v>
      </c>
      <c r="D54" s="1">
        <f t="shared" si="3"/>
        <v>7.4558794545539699</v>
      </c>
    </row>
    <row r="55" spans="2:16" x14ac:dyDescent="0.3">
      <c r="B55" s="1" t="s">
        <v>6</v>
      </c>
      <c r="C55" s="1">
        <f t="shared" si="2"/>
        <v>-8.9773564594821007</v>
      </c>
      <c r="D55" s="1">
        <f t="shared" si="3"/>
        <v>7.8828247059855299</v>
      </c>
    </row>
    <row r="56" spans="2:16" x14ac:dyDescent="0.3">
      <c r="B56" s="1" t="s">
        <v>7</v>
      </c>
      <c r="C56" s="1">
        <f t="shared" si="2"/>
        <v>12.5639047275425</v>
      </c>
      <c r="D56" s="1">
        <f t="shared" si="3"/>
        <v>9.5661632917540693</v>
      </c>
      <c r="E56" s="2"/>
      <c r="F56" s="2"/>
      <c r="G56" s="2"/>
      <c r="H56" s="2"/>
      <c r="I56" s="2"/>
      <c r="J56" s="2"/>
      <c r="K56" s="2"/>
      <c r="L56" s="2"/>
      <c r="M56" s="2"/>
      <c r="N56" s="2"/>
      <c r="O56" s="2"/>
      <c r="P56" s="2"/>
    </row>
    <row r="57" spans="2:16" x14ac:dyDescent="0.3">
      <c r="B57" s="1">
        <v>0</v>
      </c>
      <c r="C57" s="2"/>
      <c r="D57" s="1"/>
      <c r="E57" s="2"/>
      <c r="F57" s="2"/>
      <c r="G57" s="2"/>
      <c r="H57" s="2"/>
      <c r="I57" s="2"/>
      <c r="J57" s="2"/>
      <c r="K57" s="2"/>
      <c r="L57" s="2"/>
      <c r="M57" s="2"/>
      <c r="N57" s="2"/>
      <c r="O57" s="2"/>
      <c r="P57" s="2"/>
    </row>
    <row r="58" spans="2:16" x14ac:dyDescent="0.3">
      <c r="B58" s="2"/>
      <c r="C58" s="2"/>
      <c r="D58" s="2"/>
      <c r="E58" s="2"/>
      <c r="F58" s="2"/>
      <c r="G58" s="2"/>
      <c r="H58" s="2"/>
      <c r="I58" s="2"/>
      <c r="J58" s="2"/>
      <c r="K58" s="2"/>
      <c r="L58" s="2"/>
      <c r="M58" s="2"/>
      <c r="N58" s="2"/>
      <c r="O58" s="2"/>
      <c r="P58" s="2"/>
    </row>
    <row r="59" spans="2:16" x14ac:dyDescent="0.3">
      <c r="B59" s="2"/>
      <c r="C59" s="2"/>
      <c r="D59" s="2"/>
      <c r="E59" s="2"/>
      <c r="F59" s="2"/>
      <c r="G59" s="2"/>
      <c r="H59" s="2"/>
      <c r="I59" s="2"/>
      <c r="J59" s="2"/>
      <c r="K59" s="2"/>
      <c r="L59" s="2"/>
      <c r="M59" s="2"/>
      <c r="N59" s="2"/>
      <c r="O59" s="2"/>
      <c r="P59" s="2"/>
    </row>
    <row r="60" spans="2:16" x14ac:dyDescent="0.3">
      <c r="B60" s="2"/>
      <c r="C60" s="2"/>
      <c r="D60" s="2"/>
      <c r="E60" s="2"/>
      <c r="F60" s="2"/>
      <c r="G60" s="2"/>
      <c r="H60" s="2"/>
      <c r="I60" s="2"/>
      <c r="J60" s="2"/>
      <c r="K60" s="2"/>
      <c r="L60" s="2"/>
      <c r="M60" s="2"/>
      <c r="N60" s="2"/>
      <c r="O60" s="2"/>
      <c r="P60" s="2"/>
    </row>
    <row r="61" spans="2:16" x14ac:dyDescent="0.3">
      <c r="B61" s="2"/>
      <c r="C61" s="2"/>
      <c r="D61" s="2"/>
      <c r="E61" s="2"/>
      <c r="F61" s="2"/>
      <c r="G61" s="2"/>
      <c r="H61" s="2"/>
      <c r="I61" s="2"/>
      <c r="J61" s="2"/>
      <c r="K61" s="2"/>
      <c r="L61" s="2"/>
      <c r="M61" s="2"/>
      <c r="N61" s="2"/>
      <c r="O61" s="2"/>
      <c r="P61" s="2"/>
    </row>
    <row r="62" spans="2:16" x14ac:dyDescent="0.3">
      <c r="B62" s="2"/>
      <c r="C62" s="2"/>
      <c r="D62" s="2"/>
      <c r="E62" s="2"/>
      <c r="F62" s="2"/>
      <c r="G62" s="2"/>
      <c r="H62" s="2"/>
      <c r="I62" s="2"/>
      <c r="J62" s="2"/>
      <c r="K62" s="2"/>
      <c r="L62" s="2"/>
      <c r="M62" s="2"/>
      <c r="N62" s="2"/>
      <c r="O62" s="2"/>
      <c r="P62" s="2"/>
    </row>
    <row r="63" spans="2:16" x14ac:dyDescent="0.3">
      <c r="B63" s="2"/>
      <c r="C63" s="2"/>
      <c r="D63" s="2"/>
      <c r="E63" s="2"/>
      <c r="F63" s="2"/>
      <c r="G63" s="2"/>
      <c r="H63" s="2"/>
      <c r="I63" s="2"/>
      <c r="J63" s="2"/>
      <c r="K63" s="2"/>
      <c r="L63" s="2"/>
      <c r="M63" s="2"/>
      <c r="N63" s="2"/>
      <c r="O63" s="2"/>
      <c r="P63" s="2"/>
    </row>
    <row r="64" spans="2:16" x14ac:dyDescent="0.3">
      <c r="B64" s="3" t="s">
        <v>10</v>
      </c>
      <c r="C64" s="3"/>
      <c r="D64" s="3"/>
      <c r="E64" s="3"/>
      <c r="F64" s="3"/>
      <c r="G64" s="3" t="s">
        <v>11</v>
      </c>
      <c r="H64" s="3"/>
      <c r="I64" s="3"/>
      <c r="J64" s="3"/>
      <c r="K64" s="3"/>
      <c r="L64" s="3" t="s">
        <v>12</v>
      </c>
      <c r="M64" s="3"/>
      <c r="N64" s="3"/>
      <c r="O64" s="3"/>
      <c r="P64" s="2"/>
    </row>
    <row r="65" spans="2:16" x14ac:dyDescent="0.3">
      <c r="B65" s="3" t="s">
        <v>14</v>
      </c>
      <c r="C65" s="3"/>
      <c r="D65" s="3" t="s">
        <v>8</v>
      </c>
      <c r="E65" s="3" t="s">
        <v>9</v>
      </c>
      <c r="F65" s="3"/>
      <c r="G65" s="3" t="s">
        <v>14</v>
      </c>
      <c r="H65" s="3"/>
      <c r="I65" s="3" t="s">
        <v>8</v>
      </c>
      <c r="J65" s="3" t="s">
        <v>9</v>
      </c>
      <c r="K65" s="3"/>
      <c r="L65" s="3" t="s">
        <v>14</v>
      </c>
      <c r="M65" s="3"/>
      <c r="N65" s="3" t="s">
        <v>8</v>
      </c>
      <c r="O65" s="3" t="s">
        <v>9</v>
      </c>
      <c r="P65" s="2"/>
    </row>
    <row r="66" spans="2:16" x14ac:dyDescent="0.3">
      <c r="B66" s="3" t="s">
        <v>5</v>
      </c>
      <c r="C66" s="3" t="str">
        <f>IF(Sheet3!D5=1,IMSUM((COMPLEX(C7*COS(RADIANS(D7)),C7*SIN(RADIANS(D7)))),COMPLEX(C8*COS(RADIANS(D8-120)),C8*SIN(RADIANS(D8-120))),COMPLEX(C9*COS(RADIANS(D9+120)),C9*SIN(RADIANS(D9+120)))),IMSUM((COMPLEX(C7*COS(RADIANS(D7)),C7*SIN(RADIANS(D7)))),COMPLEX(C9*COS(RADIANS(D9-120)),C9*SIN(RADIANS(D9-120))),COMPLEX(C8*COS(RADIANS(D8+120)),C8*SIN(RADIANS(D8+120)))))</f>
        <v>-4.22296409810708+22.3676383636619i</v>
      </c>
      <c r="D66" s="3">
        <f>IMREAL(C66)</f>
        <v>-4.22296409810708</v>
      </c>
      <c r="E66" s="3">
        <f>IF(ABS(IMAGINARY(C66))&lt;0.000001,0,IMAGINARY(C66))</f>
        <v>22.3676383636619</v>
      </c>
      <c r="F66" s="3"/>
      <c r="G66" s="3" t="s">
        <v>5</v>
      </c>
      <c r="H66" s="3" t="str">
        <f>IF(Sheet3!D5=1,IMSUM((COMPLEX(C8*COS(RADIANS(D8)),C8*SIN(RADIANS(D8)))),COMPLEX(C9*COS(RADIANS(D9-120)),C9*SIN(RADIANS(D9-120))),COMPLEX(C7*COS(RADIANS(D7+120)),C7*SIN(RADIANS(D7+120)))),IMSUM((COMPLEX(C8*COS(RADIANS(D8)),C8*SIN(RADIANS(D8)))),COMPLEX(C7*COS(RADIANS(D7-120)),C7*SIN(RADIANS(D7-120))),COMPLEX(C9*COS(RADIANS(D9+120)),C9*SIN(RADIANS(D9+120)))))</f>
        <v>-17.2594609965412-14.8410133700614i</v>
      </c>
      <c r="I66" s="3">
        <f>IMREAL(H66)</f>
        <v>-17.2594609965412</v>
      </c>
      <c r="J66" s="3">
        <f>IF(ABS(IMAGINARY(H66))&lt;0.000001,0,IMAGINARY(H66))</f>
        <v>-14.8410133700614</v>
      </c>
      <c r="K66" s="3"/>
      <c r="L66" s="3" t="s">
        <v>5</v>
      </c>
      <c r="M66" s="3" t="str">
        <f>IF(Sheet3!D5=1,IMSUM((COMPLEX(C9*COS(RADIANS(D9)),C9*SIN(RADIANS(D9)))),COMPLEX(C7*COS(RADIANS(D7-120)),C7*SIN(RADIANS(D7-120))),COMPLEX(C8*COS(RADIANS(D8+120)),C8*SIN(RADIANS(D8+120)))),IMSUM((COMPLEX(C9*COS(RADIANS(D9)),C9*SIN(RADIANS(D9)))),COMPLEX(C8*COS(RADIANS(D8-120)),C8*SIN(RADIANS(D8-120))),COMPLEX(C7*COS(RADIANS(D7+120)),C7*SIN(RADIANS(D7+120)))))</f>
        <v>21.4824250946482-7.52662499360067i</v>
      </c>
      <c r="N66" s="3">
        <f>IMREAL(M66)</f>
        <v>21.4824250946482</v>
      </c>
      <c r="O66" s="3">
        <f>IF(ABS(IMAGINARY(M66))&lt;0.000001,0,IMAGINARY(M66))</f>
        <v>-7.5266249936006702</v>
      </c>
      <c r="P66" s="2"/>
    </row>
    <row r="67" spans="2:16" x14ac:dyDescent="0.3">
      <c r="B67" s="3" t="s">
        <v>6</v>
      </c>
      <c r="C67" s="3" t="str">
        <f>IMSUM(E24,E25,E26)</f>
        <v>-26.9320693784463+23.6484741179566i</v>
      </c>
      <c r="D67" s="3">
        <f t="shared" ref="D67:D68" si="4">IMREAL(C67)</f>
        <v>-26.9320693784463</v>
      </c>
      <c r="E67" s="3">
        <f t="shared" ref="E67:E68" si="5">IF(ABS(IMAGINARY(C67))&lt;0.000001,0,IMAGINARY(C67))</f>
        <v>23.648474117956599</v>
      </c>
      <c r="F67" s="3"/>
      <c r="G67" s="3" t="s">
        <v>6</v>
      </c>
      <c r="H67" s="3" t="str">
        <f>IMSUM(E24,E25,E26)</f>
        <v>-26.9320693784463+23.6484741179566i</v>
      </c>
      <c r="I67" s="3">
        <f t="shared" ref="I67:I68" si="6">IMREAL(H67)</f>
        <v>-26.9320693784463</v>
      </c>
      <c r="J67" s="3">
        <f t="shared" ref="J67:J68" si="7">IF(ABS(IMAGINARY(H67))&lt;0.000001,0,IMAGINARY(H67))</f>
        <v>23.648474117956599</v>
      </c>
      <c r="K67" s="3"/>
      <c r="L67" s="3" t="s">
        <v>6</v>
      </c>
      <c r="M67" s="3" t="str">
        <f>IMSUM(E24,E25,E26)</f>
        <v>-26.9320693784463+23.6484741179566i</v>
      </c>
      <c r="N67" s="3">
        <f t="shared" ref="N67:N68" si="8">IMREAL(M67)</f>
        <v>-26.9320693784463</v>
      </c>
      <c r="O67" s="3">
        <f t="shared" ref="O67:O68" si="9">IF(ABS(IMAGINARY(M67))&lt;0.000001,0,IMAGINARY(M67))</f>
        <v>23.648474117956599</v>
      </c>
      <c r="P67" s="2"/>
    </row>
    <row r="68" spans="2:16" x14ac:dyDescent="0.3">
      <c r="B68" s="3" t="s">
        <v>7</v>
      </c>
      <c r="C68" s="3" t="str">
        <f>IF(Sheet3!D5=1,IMSUM((COMPLEX(C7*COS(RADIANS(D7)),C7*SIN(RADIANS(D7)))),COMPLEX(C8*COS(RADIANS(D8+120)),C8*SIN(RADIANS(D8+120))),COMPLEX(C9*COS(RADIANS(D9-120)),C9*SIN(RADIANS(D9-120)))),IMSUM((COMPLEX(C7*COS(RADIANS(D7)),C7*SIN(RADIANS(D7)))),COMPLEX(C9*COS(RADIANS(D9+120)),C9*SIN(RADIANS(D9+120))),COMPLEX(C8*COS(RADIANS(D8-120)),C8*SIN(RADIANS(D8-120)))))</f>
        <v>37.6917141826276+28.6984898752622i</v>
      </c>
      <c r="D68" s="3">
        <f t="shared" si="4"/>
        <v>37.691714182627599</v>
      </c>
      <c r="E68" s="3">
        <f t="shared" si="5"/>
        <v>28.698489875262201</v>
      </c>
      <c r="F68" s="3"/>
      <c r="G68" s="3" t="s">
        <v>7</v>
      </c>
      <c r="H68" s="3" t="str">
        <f>IF(Sheet3!D5=1,IMSUM((COMPLEX(C8*COS(RADIANS(D8)),C8*SIN(RADIANS(D8)))),COMPLEX(C9*COS(RADIANS(D9+120)),C9*SIN(RADIANS(D9+120))),COMPLEX(C7*COS(RADIANS(D7-120)),C7*SIN(RADIANS(D7-120)))),IMSUM((COMPLEX(C8*COS(RADIANS(D8)),C8*SIN(RADIANS(D8)))),COMPLEX(C7*COS(RADIANS(D7+120)),C7*SIN(RADIANS(D7+120))),COMPLEX(C9*COS(RADIANS(D9-120)),C9*SIN(RADIANS(D9-120)))))</f>
        <v>6.00776419091374-46.991226931969i</v>
      </c>
      <c r="I68" s="3">
        <f t="shared" si="6"/>
        <v>6.0077641909137398</v>
      </c>
      <c r="J68" s="3">
        <f t="shared" si="7"/>
        <v>-46.991226931969003</v>
      </c>
      <c r="K68" s="3"/>
      <c r="L68" s="3" t="s">
        <v>7</v>
      </c>
      <c r="M68" s="3" t="str">
        <f>IF(Sheet3!D5=1,IMSUM((COMPLEX(C9*COS(RADIANS(D9)),C9*SIN(RADIANS(D9)))),COMPLEX(C7*COS(RADIANS(D7+120)),C7*SIN(RADIANS(D7+120))),COMPLEX(C8*COS(RADIANS(D8-120)),C8*SIN(RADIANS(D8-120)))),IMSUM((COMPLEX(C9*COS(RADIANS(D9)),C9*SIN(RADIANS(D9)))),COMPLEX(C8*COS(RADIANS(D8+120)),C8*SIN(RADIANS(D8+120))),COMPLEX(C7*COS(RADIANS(D7-120)),C7*SIN(RADIANS(D7-120)))))</f>
        <v>-43.6994783735415+18.2927370567066i</v>
      </c>
      <c r="N68" s="3">
        <f t="shared" si="8"/>
        <v>-43.699478373541503</v>
      </c>
      <c r="O68" s="3">
        <f t="shared" si="9"/>
        <v>18.292737056706599</v>
      </c>
      <c r="P68" s="2"/>
    </row>
    <row r="69" spans="2:16" x14ac:dyDescent="0.3">
      <c r="B69" s="2"/>
      <c r="C69" s="2"/>
      <c r="D69" s="2"/>
      <c r="E69" s="2"/>
      <c r="F69" s="2"/>
      <c r="G69" s="2"/>
      <c r="H69" s="2"/>
      <c r="I69" s="2"/>
      <c r="J69" s="2"/>
      <c r="K69" s="2"/>
      <c r="L69" s="2"/>
      <c r="M69" s="2"/>
      <c r="N69" s="2"/>
      <c r="O69" s="2"/>
      <c r="P69" s="2"/>
    </row>
    <row r="70" spans="2:16" x14ac:dyDescent="0.3">
      <c r="B70" s="2"/>
      <c r="C70" s="2"/>
      <c r="D70" s="2"/>
      <c r="E70" s="2"/>
      <c r="F70" s="2"/>
      <c r="G70" s="2"/>
      <c r="H70" s="2"/>
      <c r="I70" s="2"/>
      <c r="J70" s="2"/>
      <c r="K70" s="2"/>
      <c r="L70" s="2"/>
      <c r="M70" s="2"/>
      <c r="N70" s="2"/>
      <c r="O70" s="2"/>
      <c r="P70" s="2"/>
    </row>
    <row r="71" spans="2:16" x14ac:dyDescent="0.3">
      <c r="B71" s="2"/>
      <c r="C71" s="2"/>
      <c r="D71" s="2"/>
      <c r="E71" s="2"/>
      <c r="F71" s="2"/>
      <c r="G71" s="2"/>
      <c r="H71" s="2"/>
      <c r="I71" s="2"/>
      <c r="J71" s="2"/>
      <c r="K71" s="2"/>
      <c r="L71" s="2"/>
      <c r="M71" s="2"/>
      <c r="N71" s="2"/>
      <c r="O71" s="2"/>
      <c r="P71" s="2"/>
    </row>
    <row r="72" spans="2:16" x14ac:dyDescent="0.3">
      <c r="B72" s="2"/>
      <c r="C72" s="2"/>
      <c r="D72" s="2"/>
      <c r="E72" s="2"/>
      <c r="F72" s="2"/>
      <c r="G72" s="2"/>
      <c r="H72" s="2"/>
      <c r="I72" s="2"/>
      <c r="J72" s="2"/>
      <c r="K72" s="2"/>
      <c r="L72" s="2"/>
      <c r="M72" s="2"/>
      <c r="N72" s="2"/>
      <c r="O72" s="2"/>
      <c r="P72" s="2"/>
    </row>
  </sheetData>
  <sheetProtection password="CD9A" sheet="1" objects="1" scenarios="1" selectLockedCells="1"/>
  <mergeCells count="4">
    <mergeCell ref="B4:D5"/>
    <mergeCell ref="F4:H5"/>
    <mergeCell ref="K2:L2"/>
    <mergeCell ref="J4:L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locked="0" defaultSize="0" autoFill="0" autoLine="0" autoPict="0">
                <anchor moveWithCells="1">
                  <from>
                    <xdr:col>1</xdr:col>
                    <xdr:colOff>144780</xdr:colOff>
                    <xdr:row>10</xdr:row>
                    <xdr:rowOff>76200</xdr:rowOff>
                  </from>
                  <to>
                    <xdr:col>2</xdr:col>
                    <xdr:colOff>99060</xdr:colOff>
                    <xdr:row>11</xdr:row>
                    <xdr:rowOff>99060</xdr:rowOff>
                  </to>
                </anchor>
              </controlPr>
            </control>
          </mc:Choice>
        </mc:AlternateContent>
        <mc:AlternateContent xmlns:mc="http://schemas.openxmlformats.org/markup-compatibility/2006">
          <mc:Choice Requires="x14">
            <control shapeId="1026" r:id="rId5" name="Option Button 2">
              <controlPr locked="0" defaultSize="0" autoFill="0" autoLine="0" autoPict="0">
                <anchor moveWithCells="1">
                  <from>
                    <xdr:col>2</xdr:col>
                    <xdr:colOff>236220</xdr:colOff>
                    <xdr:row>10</xdr:row>
                    <xdr:rowOff>83820</xdr:rowOff>
                  </from>
                  <to>
                    <xdr:col>2</xdr:col>
                    <xdr:colOff>571500</xdr:colOff>
                    <xdr:row>11</xdr:row>
                    <xdr:rowOff>106680</xdr:rowOff>
                  </to>
                </anchor>
              </controlPr>
            </control>
          </mc:Choice>
        </mc:AlternateContent>
        <mc:AlternateContent xmlns:mc="http://schemas.openxmlformats.org/markup-compatibility/2006">
          <mc:Choice Requires="x14">
            <control shapeId="1027" r:id="rId6" name="Option Button 3">
              <controlPr locked="0" defaultSize="0" autoFill="0" autoLine="0" autoPict="0" macro="[0]!OptionButton3_Click">
                <anchor>
                  <from>
                    <xdr:col>1</xdr:col>
                    <xdr:colOff>99060</xdr:colOff>
                    <xdr:row>13</xdr:row>
                    <xdr:rowOff>76200</xdr:rowOff>
                  </from>
                  <to>
                    <xdr:col>1</xdr:col>
                    <xdr:colOff>373380</xdr:colOff>
                    <xdr:row>14</xdr:row>
                    <xdr:rowOff>99060</xdr:rowOff>
                  </to>
                </anchor>
              </controlPr>
            </control>
          </mc:Choice>
        </mc:AlternateContent>
        <mc:AlternateContent xmlns:mc="http://schemas.openxmlformats.org/markup-compatibility/2006">
          <mc:Choice Requires="x14">
            <control shapeId="1028" r:id="rId7" name="Option Button 4">
              <controlPr locked="0" defaultSize="0" autoFill="0" autoLine="0" autoPict="0">
                <anchor>
                  <from>
                    <xdr:col>2</xdr:col>
                    <xdr:colOff>45720</xdr:colOff>
                    <xdr:row>13</xdr:row>
                    <xdr:rowOff>68580</xdr:rowOff>
                  </from>
                  <to>
                    <xdr:col>2</xdr:col>
                    <xdr:colOff>320040</xdr:colOff>
                    <xdr:row>14</xdr:row>
                    <xdr:rowOff>91440</xdr:rowOff>
                  </to>
                </anchor>
              </controlPr>
            </control>
          </mc:Choice>
        </mc:AlternateContent>
        <mc:AlternateContent xmlns:mc="http://schemas.openxmlformats.org/markup-compatibility/2006">
          <mc:Choice Requires="x14">
            <control shapeId="1029" r:id="rId8" name="Option Button 5">
              <controlPr locked="0" defaultSize="0" autoFill="0" autoLine="0" autoPict="0">
                <anchor>
                  <from>
                    <xdr:col>2</xdr:col>
                    <xdr:colOff>358140</xdr:colOff>
                    <xdr:row>13</xdr:row>
                    <xdr:rowOff>76200</xdr:rowOff>
                  </from>
                  <to>
                    <xdr:col>2</xdr:col>
                    <xdr:colOff>601980</xdr:colOff>
                    <xdr:row>14</xdr:row>
                    <xdr:rowOff>99060</xdr:rowOff>
                  </to>
                </anchor>
              </controlPr>
            </control>
          </mc:Choice>
        </mc:AlternateContent>
        <mc:AlternateContent xmlns:mc="http://schemas.openxmlformats.org/markup-compatibility/2006">
          <mc:Choice Requires="x14">
            <control shapeId="1030" r:id="rId9" name="Group Box 6">
              <controlPr defaultSize="0" autoFill="0" autoPict="0">
                <anchor moveWithCells="1">
                  <from>
                    <xdr:col>1</xdr:col>
                    <xdr:colOff>7620</xdr:colOff>
                    <xdr:row>10</xdr:row>
                    <xdr:rowOff>7620</xdr:rowOff>
                  </from>
                  <to>
                    <xdr:col>3</xdr:col>
                    <xdr:colOff>0</xdr:colOff>
                    <xdr:row>12</xdr:row>
                    <xdr:rowOff>7620</xdr:rowOff>
                  </to>
                </anchor>
              </controlPr>
            </control>
          </mc:Choice>
        </mc:AlternateContent>
        <mc:AlternateContent xmlns:mc="http://schemas.openxmlformats.org/markup-compatibility/2006">
          <mc:Choice Requires="x14">
            <control shapeId="1031" r:id="rId10" name="Group Box 7">
              <controlPr defaultSize="0" autoFill="0" autoPict="0">
                <anchor moveWithCells="1">
                  <from>
                    <xdr:col>1</xdr:col>
                    <xdr:colOff>0</xdr:colOff>
                    <xdr:row>13</xdr:row>
                    <xdr:rowOff>7620</xdr:rowOff>
                  </from>
                  <to>
                    <xdr:col>3</xdr:col>
                    <xdr:colOff>0</xdr:colOff>
                    <xdr:row>15</xdr:row>
                    <xdr:rowOff>7620</xdr:rowOff>
                  </to>
                </anchor>
              </controlPr>
            </control>
          </mc:Choice>
        </mc:AlternateContent>
        <mc:AlternateContent xmlns:mc="http://schemas.openxmlformats.org/markup-compatibility/2006">
          <mc:Choice Requires="x14">
            <control shapeId="1032" r:id="rId11" name="Group Box 8">
              <controlPr defaultSize="0" autoFill="0" autoPict="0">
                <anchor moveWithCells="1">
                  <from>
                    <xdr:col>1</xdr:col>
                    <xdr:colOff>7620</xdr:colOff>
                    <xdr:row>16</xdr:row>
                    <xdr:rowOff>0</xdr:rowOff>
                  </from>
                  <to>
                    <xdr:col>2</xdr:col>
                    <xdr:colOff>655320</xdr:colOff>
                    <xdr:row>18</xdr:row>
                    <xdr:rowOff>0</xdr:rowOff>
                  </to>
                </anchor>
              </controlPr>
            </control>
          </mc:Choice>
        </mc:AlternateContent>
        <mc:AlternateContent xmlns:mc="http://schemas.openxmlformats.org/markup-compatibility/2006">
          <mc:Choice Requires="x14">
            <control shapeId="1033" r:id="rId12" name="Option Button 9">
              <controlPr defaultSize="0" autoFill="0" autoLine="0" autoPict="0">
                <anchor moveWithCells="1">
                  <from>
                    <xdr:col>1</xdr:col>
                    <xdr:colOff>205740</xdr:colOff>
                    <xdr:row>16</xdr:row>
                    <xdr:rowOff>76200</xdr:rowOff>
                  </from>
                  <to>
                    <xdr:col>2</xdr:col>
                    <xdr:colOff>60960</xdr:colOff>
                    <xdr:row>17</xdr:row>
                    <xdr:rowOff>99060</xdr:rowOff>
                  </to>
                </anchor>
              </controlPr>
            </control>
          </mc:Choice>
        </mc:AlternateContent>
        <mc:AlternateContent xmlns:mc="http://schemas.openxmlformats.org/markup-compatibility/2006">
          <mc:Choice Requires="x14">
            <control shapeId="1034" r:id="rId13" name="Option Button 10">
              <controlPr defaultSize="0" autoFill="0" autoLine="0" autoPict="0">
                <anchor moveWithCells="1">
                  <from>
                    <xdr:col>2</xdr:col>
                    <xdr:colOff>274320</xdr:colOff>
                    <xdr:row>16</xdr:row>
                    <xdr:rowOff>76200</xdr:rowOff>
                  </from>
                  <to>
                    <xdr:col>2</xdr:col>
                    <xdr:colOff>548640</xdr:colOff>
                    <xdr:row>17</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51"/>
  <sheetViews>
    <sheetView topLeftCell="A13" workbookViewId="0">
      <selection activeCell="K2" sqref="K2:L2"/>
    </sheetView>
  </sheetViews>
  <sheetFormatPr defaultRowHeight="14.4" x14ac:dyDescent="0.3"/>
  <cols>
    <col min="1" max="1" width="5.5546875" customWidth="1"/>
    <col min="2" max="2" width="6.5546875" customWidth="1"/>
    <col min="3" max="3" width="12" customWidth="1"/>
    <col min="4" max="4" width="9.6640625" customWidth="1"/>
    <col min="5" max="5" width="5.6640625" customWidth="1"/>
    <col min="6" max="6" width="7" customWidth="1"/>
    <col min="7" max="7" width="12" bestFit="1" customWidth="1"/>
    <col min="9" max="9" width="7" customWidth="1"/>
    <col min="10" max="10" width="7.109375" customWidth="1"/>
    <col min="11" max="11" width="11.88671875" customWidth="1"/>
  </cols>
  <sheetData>
    <row r="1" spans="1:15" x14ac:dyDescent="0.3">
      <c r="A1" s="26"/>
      <c r="B1" s="26"/>
      <c r="C1" s="26"/>
      <c r="D1" s="26"/>
      <c r="E1" s="26"/>
      <c r="F1" s="26"/>
      <c r="G1" s="26"/>
      <c r="H1" s="26"/>
      <c r="I1" s="26"/>
      <c r="J1" s="26"/>
      <c r="K1" s="26"/>
      <c r="L1" s="26"/>
      <c r="M1" s="26"/>
      <c r="N1" s="26"/>
    </row>
    <row r="2" spans="1:15" ht="18" x14ac:dyDescent="0.35">
      <c r="A2" s="26"/>
      <c r="B2" s="30" t="s">
        <v>40</v>
      </c>
      <c r="C2" s="28"/>
      <c r="D2" s="28"/>
      <c r="E2" s="26"/>
      <c r="F2" s="26"/>
      <c r="G2" s="26"/>
      <c r="H2" s="26"/>
      <c r="I2" s="26"/>
      <c r="J2" s="26"/>
      <c r="K2" s="69" t="str">
        <f>HYPERLINK("[Symmetrical Components Calculator.xlsm]'Instructions'!A1","Back to Instructions")</f>
        <v>Back to Instructions</v>
      </c>
      <c r="L2" s="70"/>
      <c r="M2" s="26"/>
      <c r="N2" s="26"/>
    </row>
    <row r="3" spans="1:15" x14ac:dyDescent="0.3">
      <c r="A3" s="26"/>
      <c r="B3" s="27"/>
      <c r="C3" s="28"/>
      <c r="D3" s="28"/>
      <c r="E3" s="26"/>
      <c r="F3" s="26"/>
      <c r="G3" s="26"/>
      <c r="H3" s="26"/>
      <c r="I3" s="26"/>
      <c r="J3" s="26"/>
      <c r="K3" s="26"/>
      <c r="L3" s="26"/>
      <c r="M3" s="26"/>
      <c r="N3" s="26"/>
      <c r="O3" s="10"/>
    </row>
    <row r="4" spans="1:15" x14ac:dyDescent="0.3">
      <c r="A4" s="26"/>
      <c r="B4" s="67" t="s">
        <v>28</v>
      </c>
      <c r="C4" s="67"/>
      <c r="D4" s="67"/>
      <c r="E4" s="26"/>
      <c r="F4" s="67" t="s">
        <v>26</v>
      </c>
      <c r="G4" s="67"/>
      <c r="H4" s="67"/>
      <c r="I4" s="26"/>
      <c r="J4" s="67" t="s">
        <v>27</v>
      </c>
      <c r="K4" s="67"/>
      <c r="L4" s="67"/>
      <c r="M4" s="26"/>
      <c r="N4" s="26"/>
      <c r="O4" s="10"/>
    </row>
    <row r="5" spans="1:15" x14ac:dyDescent="0.3">
      <c r="A5" s="26"/>
      <c r="B5" s="67"/>
      <c r="C5" s="67"/>
      <c r="D5" s="67"/>
      <c r="E5" s="26"/>
      <c r="F5" s="67"/>
      <c r="G5" s="67"/>
      <c r="H5" s="67"/>
      <c r="I5" s="26"/>
      <c r="J5" s="67"/>
      <c r="K5" s="67"/>
      <c r="L5" s="67"/>
      <c r="M5" s="26"/>
      <c r="N5" s="26"/>
      <c r="O5" s="10"/>
    </row>
    <row r="6" spans="1:15" x14ac:dyDescent="0.3">
      <c r="A6" s="26"/>
      <c r="C6" s="8" t="s">
        <v>0</v>
      </c>
      <c r="D6" s="8" t="s">
        <v>1</v>
      </c>
      <c r="E6" s="26"/>
      <c r="G6" s="7" t="s">
        <v>0</v>
      </c>
      <c r="H6" s="7" t="s">
        <v>1</v>
      </c>
      <c r="I6" s="26"/>
      <c r="J6" s="5"/>
      <c r="K6" s="7" t="s">
        <v>8</v>
      </c>
      <c r="L6" s="7" t="s">
        <v>15</v>
      </c>
      <c r="M6" s="26"/>
      <c r="N6" s="26"/>
      <c r="O6" s="10"/>
    </row>
    <row r="7" spans="1:15" x14ac:dyDescent="0.3">
      <c r="A7" s="26"/>
      <c r="B7" s="7" t="str">
        <f>IF(Sheet3!$F$7=1,"V0","I0")</f>
        <v>I0</v>
      </c>
      <c r="C7" s="9">
        <v>11.946999999999999</v>
      </c>
      <c r="D7" s="9">
        <v>138.714</v>
      </c>
      <c r="E7" s="26"/>
      <c r="F7" s="7" t="str">
        <f>IF(Sheet3!$F$7=1,"Va","Ia")</f>
        <v>Ia</v>
      </c>
      <c r="G7" s="12">
        <f>IF(ABS(IMABS(E13))&lt;0.00001,0,IMABS(E13))</f>
        <v>25.00013853071615</v>
      </c>
      <c r="H7" s="12">
        <f>IF(ABS(IMARGUMENT(E13)*180/PI())&lt;0.00001,0,IMARGUMENT(E13)*180/PI())</f>
        <v>85.000058005702826</v>
      </c>
      <c r="I7" s="26"/>
      <c r="J7" s="7" t="str">
        <f>IF(Sheet3!$F$7=1,"Va","Ia")</f>
        <v>Ia</v>
      </c>
      <c r="K7" s="12">
        <f t="shared" ref="K7:K12" si="0">IMREAL(E13)</f>
        <v>2.1788804288468899</v>
      </c>
      <c r="L7" s="13">
        <f t="shared" ref="L7:L12" si="1">IF(ABS(IMAGINARY(E13))&lt;0.000001,0,IMAGINARY(E13))</f>
        <v>24.905007661749199</v>
      </c>
      <c r="M7" s="26"/>
      <c r="N7" s="26"/>
    </row>
    <row r="8" spans="1:15" x14ac:dyDescent="0.3">
      <c r="A8" s="26"/>
      <c r="B8" s="7" t="str">
        <f>IF(Sheet3!F7=1,"V1","I1")</f>
        <v>I1</v>
      </c>
      <c r="C8" s="9">
        <v>15.791</v>
      </c>
      <c r="D8" s="9">
        <v>37.284999999999997</v>
      </c>
      <c r="E8" s="26"/>
      <c r="F8" s="7" t="str">
        <f>IF(Sheet3!$F$7=1,"Vb","Ib")</f>
        <v>Ib</v>
      </c>
      <c r="G8" s="13">
        <f>IF(ABS(IMABS(E14))&lt;0.00001,0,IMABS(E14))</f>
        <v>18.000326053729115</v>
      </c>
      <c r="H8" s="13">
        <f>IF(ABS(IMARGUMENT(E14)*180/PI())&lt;0.00001,0,IMARGUMENT(E14)*180/PI())</f>
        <v>-135.00112681937827</v>
      </c>
      <c r="I8" s="26"/>
      <c r="J8" s="7" t="str">
        <f>IF(Sheet3!$F$7=1,"Vb","Ib")</f>
        <v>Ib</v>
      </c>
      <c r="K8" s="13">
        <f t="shared" si="0"/>
        <v>-12.728402934563</v>
      </c>
      <c r="L8" s="13">
        <f t="shared" si="1"/>
        <v>-12.7279022928355</v>
      </c>
      <c r="M8" s="26"/>
      <c r="N8" s="26"/>
    </row>
    <row r="9" spans="1:15" x14ac:dyDescent="0.3">
      <c r="A9" s="26"/>
      <c r="B9" s="7" t="str">
        <f>IF(Sheet3!F7=1,"V2","I2")</f>
        <v>I2</v>
      </c>
      <c r="C9" s="9">
        <v>7.5880000000000001</v>
      </c>
      <c r="D9" s="9">
        <v>100.691</v>
      </c>
      <c r="E9" s="26"/>
      <c r="F9" s="7" t="str">
        <f>IF(Sheet3!$F$7=1,"Vc","Ic")</f>
        <v>Ic</v>
      </c>
      <c r="G9" s="13">
        <f>IF(ABS(IMABS(E15))&lt;0.00001,0,IMABS(E15))</f>
        <v>19.999350924578657</v>
      </c>
      <c r="H9" s="13">
        <f>IF(ABS(IMARGUMENT(E15)*180/PI())&lt;0.00001,0,IMARGUMENT(E15)*180/PI())</f>
        <v>144.99902773572049</v>
      </c>
      <c r="I9" s="26"/>
      <c r="J9" s="7" t="str">
        <f>IF(Sheet3!$F$7=1,"Vc","Ic")</f>
        <v>Ic</v>
      </c>
      <c r="K9" s="13">
        <f t="shared" si="0"/>
        <v>-16.382314535467401</v>
      </c>
      <c r="L9" s="13">
        <f t="shared" si="1"/>
        <v>11.4714344292882</v>
      </c>
      <c r="M9" s="26"/>
      <c r="N9" s="26"/>
    </row>
    <row r="10" spans="1:15" x14ac:dyDescent="0.3">
      <c r="A10" s="26"/>
      <c r="B10" s="26"/>
      <c r="C10" s="26"/>
      <c r="D10" s="26"/>
      <c r="E10" s="26"/>
      <c r="F10" s="26"/>
      <c r="G10" s="26"/>
      <c r="H10" s="26"/>
      <c r="I10" s="26"/>
      <c r="J10" s="7" t="str">
        <f>IF(Sheet3!$F$7=1,"V2","I2")</f>
        <v>I2</v>
      </c>
      <c r="K10" s="13">
        <f t="shared" si="0"/>
        <v>-1.4076670640769</v>
      </c>
      <c r="L10" s="13">
        <f t="shared" si="1"/>
        <v>7.4562871079856601</v>
      </c>
      <c r="M10" s="26"/>
      <c r="N10" s="26"/>
    </row>
    <row r="11" spans="1:15" x14ac:dyDescent="0.3">
      <c r="A11" s="26"/>
      <c r="B11" s="11"/>
      <c r="C11" s="11"/>
      <c r="D11" s="26"/>
      <c r="E11" s="26"/>
      <c r="F11" s="26"/>
      <c r="G11" s="26"/>
      <c r="H11" s="26"/>
      <c r="I11" s="26"/>
      <c r="J11" s="7" t="str">
        <f>IF(Sheet3!$F$7=1,"V0","I0")</f>
        <v>I0</v>
      </c>
      <c r="K11" s="13">
        <f t="shared" si="0"/>
        <v>-8.9772790137278093</v>
      </c>
      <c r="L11" s="13">
        <f t="shared" si="1"/>
        <v>7.8828465994006303</v>
      </c>
      <c r="M11" s="26"/>
      <c r="N11" s="26"/>
    </row>
    <row r="12" spans="1:15" x14ac:dyDescent="0.3">
      <c r="A12" s="26"/>
      <c r="B12" s="11"/>
      <c r="C12" s="11"/>
      <c r="D12" s="26"/>
      <c r="E12" s="26"/>
      <c r="F12" s="26"/>
      <c r="G12" s="26"/>
      <c r="H12" s="26"/>
      <c r="I12" s="26"/>
      <c r="J12" s="7" t="str">
        <f>IF(Sheet3!$F$7=1,"V1","I1")</f>
        <v>I1</v>
      </c>
      <c r="K12" s="13">
        <f t="shared" si="0"/>
        <v>12.5638265066516</v>
      </c>
      <c r="L12" s="13">
        <f t="shared" si="1"/>
        <v>9.5658739543628908</v>
      </c>
      <c r="M12" s="26"/>
      <c r="N12" s="26"/>
    </row>
    <row r="13" spans="1:15" x14ac:dyDescent="0.3">
      <c r="A13" s="26"/>
      <c r="B13" s="26"/>
      <c r="C13" s="26"/>
      <c r="D13" s="26"/>
      <c r="E13" s="35" t="str">
        <f>IF(OR(AND(Sheet3!F5=1,Sheet3!F6=1),AND(Sheet3!F5=2,Sheet3!F6=1)),C29,IF(OR(AND(Sheet3!F5=1,Sheet3!F6=2),AND(Sheet3!F5=2,Sheet3!F6=3)),C31,IF(OR(AND(Sheet3!F5=2,Sheet3!F6=2),AND(Sheet3!F5=1,Sheet3!F6=3)),C30,0)))</f>
        <v>2.17888042884689+24.9050076617492i</v>
      </c>
      <c r="F13" s="27"/>
      <c r="G13" s="27"/>
      <c r="H13" s="27"/>
      <c r="I13" s="27"/>
      <c r="J13" s="26"/>
      <c r="K13" s="26"/>
      <c r="L13" s="26"/>
      <c r="M13" s="28"/>
      <c r="N13" s="28"/>
      <c r="O13" s="4"/>
    </row>
    <row r="14" spans="1:15" x14ac:dyDescent="0.3">
      <c r="A14" s="26"/>
      <c r="B14" s="11"/>
      <c r="C14" s="11"/>
      <c r="D14" s="26"/>
      <c r="E14" s="35" t="str">
        <f>IF(OR(AND(Sheet3!F5=1,Sheet3!F6=2),AND(Sheet3!F5=2,Sheet3!F6=2)),C29,IF(OR(AND(Sheet3!F5=1,Sheet3!F6=3),AND(Sheet3!F5=2,Sheet3!F6=1)),C31,IF(OR(AND(Sheet3!F5=1,Sheet3!F6=1),AND(Sheet3!F5=2,Sheet3!F6=3)),C30,0)))</f>
        <v>-12.728402934563-12.7279022928355i</v>
      </c>
      <c r="F14" s="27"/>
      <c r="G14" s="27"/>
      <c r="H14" s="27"/>
      <c r="I14" s="27"/>
      <c r="J14" s="28"/>
      <c r="K14" s="28"/>
      <c r="L14" s="28"/>
      <c r="M14" s="28"/>
      <c r="N14" s="28"/>
      <c r="O14" s="4"/>
    </row>
    <row r="15" spans="1:15" x14ac:dyDescent="0.3">
      <c r="A15" s="26"/>
      <c r="B15" s="11"/>
      <c r="C15" s="11"/>
      <c r="D15" s="26"/>
      <c r="E15" s="35" t="str">
        <f>IF(OR(AND(Sheet3!F5=1,Sheet3!F6=3),AND(Sheet3!F5=2,Sheet3!F6=3)),C29,IF(OR(AND(Sheet3!F5=1,Sheet3!F6=1),AND(Sheet3!F5=2,Sheet3!F6=2)),C31,IF(OR(AND(Sheet3!F5=1,Sheet3!F6=2),AND(Sheet3!F5=2,Sheet3!F6=1)),C30,0)))</f>
        <v>-16.3823145354674+11.4714344292882i</v>
      </c>
      <c r="F15" s="27"/>
      <c r="G15" s="27"/>
      <c r="H15" s="27"/>
      <c r="I15" s="27"/>
      <c r="J15" s="28"/>
      <c r="K15" s="27"/>
      <c r="L15" s="28"/>
      <c r="M15" s="28"/>
      <c r="N15" s="28"/>
      <c r="O15" s="4"/>
    </row>
    <row r="16" spans="1:15" x14ac:dyDescent="0.3">
      <c r="A16" s="26"/>
      <c r="B16" s="26"/>
      <c r="C16" s="26"/>
      <c r="D16" s="26"/>
      <c r="E16" s="35" t="str">
        <f>COMPLEX(C9*COS(RADIANS(D9)),C9*SIN(RADIANS(D9)))</f>
        <v>-1.4076670640769+7.45628710798566i</v>
      </c>
      <c r="F16" s="27"/>
      <c r="G16" s="27"/>
      <c r="H16" s="27"/>
      <c r="I16" s="27"/>
      <c r="J16" s="28"/>
      <c r="K16" s="27"/>
      <c r="L16" s="28"/>
      <c r="M16" s="28"/>
      <c r="N16" s="28"/>
      <c r="O16" s="4"/>
    </row>
    <row r="17" spans="1:15" x14ac:dyDescent="0.3">
      <c r="A17" s="26"/>
      <c r="B17" s="11"/>
      <c r="C17" s="11"/>
      <c r="D17" s="26"/>
      <c r="E17" s="35" t="str">
        <f>COMPLEX(C7*COS(RADIANS(D7)),C7*SIN(RADIANS(D7)))</f>
        <v>-8.97727901372781+7.88284659940063i</v>
      </c>
      <c r="F17" s="27"/>
      <c r="G17" s="27"/>
      <c r="H17" s="27"/>
      <c r="I17" s="27"/>
      <c r="J17" s="28"/>
      <c r="K17" s="27"/>
      <c r="L17" s="28"/>
      <c r="M17" s="28"/>
      <c r="N17" s="28"/>
      <c r="O17" s="4"/>
    </row>
    <row r="18" spans="1:15" x14ac:dyDescent="0.3">
      <c r="A18" s="26"/>
      <c r="B18" s="11"/>
      <c r="C18" s="11"/>
      <c r="D18" s="26"/>
      <c r="E18" s="35" t="str">
        <f>COMPLEX(C8*COS(RADIANS(D8)),C8*SIN(RADIANS(D8)))</f>
        <v>12.5638265066516+9.56587395436289i</v>
      </c>
      <c r="F18" s="27"/>
      <c r="G18" s="27"/>
      <c r="H18" s="27"/>
      <c r="I18" s="27"/>
      <c r="J18" s="28"/>
      <c r="K18" s="27"/>
      <c r="L18" s="28"/>
      <c r="M18" s="28"/>
      <c r="N18" s="28"/>
      <c r="O18" s="4"/>
    </row>
    <row r="19" spans="1:15" x14ac:dyDescent="0.3">
      <c r="A19" s="26"/>
      <c r="B19" s="36">
        <v>0</v>
      </c>
      <c r="C19" s="26"/>
      <c r="D19" s="26"/>
      <c r="E19" s="26"/>
      <c r="F19" s="26"/>
      <c r="G19" s="26"/>
      <c r="H19" s="26"/>
      <c r="I19" s="26"/>
      <c r="J19" s="26"/>
      <c r="K19" s="26"/>
      <c r="L19" s="26"/>
      <c r="M19" s="26"/>
      <c r="N19" s="26"/>
    </row>
    <row r="20" spans="1:15" x14ac:dyDescent="0.3">
      <c r="A20" s="26"/>
      <c r="B20" s="44"/>
      <c r="C20" s="44"/>
      <c r="D20" s="44"/>
      <c r="E20" s="26"/>
      <c r="F20" s="44"/>
      <c r="G20" s="26"/>
      <c r="H20" s="26"/>
      <c r="I20" s="26"/>
      <c r="J20" s="26"/>
      <c r="K20" s="26"/>
      <c r="L20" s="26"/>
      <c r="M20" s="26"/>
      <c r="N20" s="26"/>
    </row>
    <row r="21" spans="1:15" x14ac:dyDescent="0.3">
      <c r="A21" s="26"/>
      <c r="B21" s="44"/>
      <c r="C21" s="44"/>
      <c r="D21" s="44"/>
      <c r="E21" s="26"/>
      <c r="F21" s="44"/>
      <c r="G21" s="26"/>
      <c r="H21" s="45"/>
      <c r="I21" s="26"/>
      <c r="J21" s="26"/>
      <c r="K21" s="26"/>
      <c r="L21" s="26"/>
      <c r="M21" s="26"/>
      <c r="N21" s="26"/>
    </row>
    <row r="22" spans="1:15" x14ac:dyDescent="0.3">
      <c r="A22" s="37"/>
      <c r="B22" s="44"/>
      <c r="C22" s="44"/>
      <c r="D22" s="44"/>
      <c r="E22" s="44"/>
      <c r="F22" s="44"/>
      <c r="G22" s="37"/>
      <c r="H22" s="37"/>
      <c r="I22" s="37"/>
      <c r="J22" s="26"/>
      <c r="K22" s="26"/>
      <c r="L22" s="26"/>
      <c r="M22" s="26"/>
      <c r="N22" s="26"/>
    </row>
    <row r="23" spans="1:15" x14ac:dyDescent="0.3">
      <c r="A23" s="37"/>
      <c r="B23" s="44"/>
      <c r="C23" s="44"/>
      <c r="D23" s="44"/>
      <c r="E23" s="44"/>
      <c r="F23" s="44"/>
      <c r="G23" s="37"/>
      <c r="H23" s="37"/>
      <c r="I23" s="37"/>
      <c r="J23" s="26"/>
      <c r="K23" s="26"/>
      <c r="L23" s="26"/>
      <c r="M23" s="26"/>
      <c r="N23" s="26"/>
    </row>
    <row r="24" spans="1:15" x14ac:dyDescent="0.3">
      <c r="A24" s="37"/>
      <c r="B24" s="44"/>
      <c r="C24" s="44"/>
      <c r="D24" s="44"/>
      <c r="E24" s="44"/>
      <c r="F24" s="44"/>
      <c r="G24" s="37"/>
      <c r="H24" s="37"/>
      <c r="I24" s="37"/>
      <c r="J24" s="26"/>
      <c r="K24" s="26"/>
      <c r="L24" s="26"/>
      <c r="M24" s="26"/>
      <c r="N24" s="26"/>
    </row>
    <row r="25" spans="1:15" x14ac:dyDescent="0.3">
      <c r="A25" s="37"/>
      <c r="B25" s="44"/>
      <c r="C25" s="44"/>
      <c r="D25" s="44"/>
      <c r="E25" s="44"/>
      <c r="F25" s="44"/>
      <c r="G25" s="37"/>
      <c r="H25" s="37"/>
      <c r="I25" s="37"/>
      <c r="J25" s="26"/>
      <c r="K25" s="26"/>
      <c r="L25" s="26"/>
      <c r="M25" s="26"/>
      <c r="N25" s="26"/>
    </row>
    <row r="26" spans="1:15" x14ac:dyDescent="0.3">
      <c r="A26" s="37"/>
      <c r="B26" s="44"/>
      <c r="C26" s="44"/>
      <c r="D26" s="44"/>
      <c r="E26" s="44"/>
      <c r="F26" s="44"/>
      <c r="G26" s="37"/>
      <c r="H26" s="37"/>
      <c r="I26" s="37"/>
      <c r="J26" s="26"/>
      <c r="K26" s="26"/>
      <c r="L26" s="26"/>
      <c r="M26" s="26"/>
      <c r="N26" s="26"/>
    </row>
    <row r="27" spans="1:15" x14ac:dyDescent="0.3">
      <c r="A27" s="36"/>
      <c r="B27" s="36"/>
      <c r="C27" s="36"/>
      <c r="D27" s="26"/>
      <c r="E27" s="37"/>
      <c r="F27" s="37"/>
      <c r="G27" s="37"/>
      <c r="H27" s="37"/>
      <c r="I27" s="37"/>
      <c r="J27" s="26"/>
      <c r="K27" s="26"/>
      <c r="L27" s="26"/>
      <c r="M27" s="26"/>
      <c r="N27" s="26"/>
    </row>
    <row r="28" spans="1:15" x14ac:dyDescent="0.3">
      <c r="A28" s="36"/>
      <c r="B28" s="36"/>
      <c r="C28" s="36"/>
      <c r="D28" s="37"/>
      <c r="E28" s="37"/>
      <c r="F28" s="37"/>
      <c r="G28" s="37"/>
      <c r="H28" s="37"/>
      <c r="I28" s="37"/>
      <c r="J28" s="26"/>
      <c r="K28" s="26"/>
      <c r="L28" s="26"/>
      <c r="M28" s="26"/>
      <c r="N28" s="26"/>
    </row>
    <row r="29" spans="1:15" x14ac:dyDescent="0.3">
      <c r="A29" s="36" t="s">
        <v>2</v>
      </c>
      <c r="B29" s="36" t="s">
        <v>17</v>
      </c>
      <c r="C29" s="36" t="str">
        <f>IMSUM(E16,E17,E18)</f>
        <v>2.17888042884689+24.9050076617492i</v>
      </c>
      <c r="D29" s="36" t="s">
        <v>22</v>
      </c>
      <c r="E29" s="37"/>
      <c r="F29" s="37"/>
      <c r="G29" s="37"/>
      <c r="H29" s="37"/>
      <c r="I29" s="37"/>
      <c r="J29" s="26"/>
      <c r="K29" s="26"/>
      <c r="L29" s="26"/>
      <c r="M29" s="26"/>
      <c r="N29" s="26"/>
    </row>
    <row r="30" spans="1:15" x14ac:dyDescent="0.3">
      <c r="A30" s="36" t="s">
        <v>3</v>
      </c>
      <c r="B30" s="36" t="s">
        <v>18</v>
      </c>
      <c r="C30" s="36" t="str">
        <f>IMSUM((COMPLEX(C7*COS(RADIANS(D7)),C7*SIN(RADIANS(D7)))),COMPLEX(C8*COS(RADIANS(D8-120)),C8*SIN(RADIANS(D8-120))),COMPLEX(C9*COS(RADIANS(D9+120)),C9*SIN(RADIANS(D9+120))))</f>
        <v>-12.728402934563-12.7279022928355i</v>
      </c>
      <c r="D30" s="36" t="s">
        <v>22</v>
      </c>
      <c r="E30" s="37"/>
      <c r="F30" s="37"/>
      <c r="G30" s="37"/>
      <c r="H30" s="37"/>
      <c r="I30" s="37"/>
      <c r="J30" s="26"/>
      <c r="K30" s="26"/>
      <c r="L30" s="26"/>
      <c r="M30" s="26"/>
      <c r="N30" s="26"/>
    </row>
    <row r="31" spans="1:15" x14ac:dyDescent="0.3">
      <c r="A31" s="36" t="s">
        <v>4</v>
      </c>
      <c r="B31" s="36" t="s">
        <v>19</v>
      </c>
      <c r="C31" s="36" t="str">
        <f>IMSUM((COMPLEX(C7*COS(RADIANS(D7)),C7*SIN(RADIANS(D7)))),COMPLEX(C9*COS(RADIANS(D9-120)),C9*SIN(RADIANS(D9-120))),COMPLEX(C8*COS(RADIANS(D8+120)),C8*SIN(RADIANS(D8+120))))</f>
        <v>-16.3823145354674+11.4714344292882i</v>
      </c>
      <c r="D31" s="36" t="s">
        <v>22</v>
      </c>
      <c r="E31" s="37"/>
      <c r="F31" s="37"/>
      <c r="G31" s="37"/>
      <c r="H31" s="37"/>
      <c r="I31" s="37"/>
      <c r="J31" s="26"/>
      <c r="K31" s="26"/>
      <c r="L31" s="26"/>
      <c r="M31" s="26"/>
      <c r="N31" s="26"/>
    </row>
    <row r="32" spans="1:15" x14ac:dyDescent="0.3">
      <c r="A32" s="36"/>
      <c r="B32" s="36"/>
      <c r="C32" s="36"/>
      <c r="D32" s="37"/>
      <c r="E32" s="37"/>
      <c r="F32" s="37"/>
      <c r="G32" s="37"/>
      <c r="H32" s="37"/>
      <c r="I32" s="37"/>
      <c r="J32" s="37"/>
      <c r="K32" s="37"/>
      <c r="L32" s="37"/>
      <c r="M32" s="26"/>
      <c r="N32" s="26"/>
    </row>
    <row r="33" spans="1:14" x14ac:dyDescent="0.3">
      <c r="A33" s="36" t="s">
        <v>16</v>
      </c>
      <c r="B33" s="36" t="s">
        <v>21</v>
      </c>
      <c r="C33" s="36"/>
      <c r="D33" s="37"/>
      <c r="E33" s="37"/>
      <c r="F33" s="37"/>
      <c r="G33" s="37"/>
      <c r="H33" s="37"/>
      <c r="I33" s="37"/>
      <c r="J33" s="37"/>
      <c r="K33" s="37"/>
      <c r="L33" s="37"/>
      <c r="M33" s="26"/>
      <c r="N33" s="26"/>
    </row>
    <row r="34" spans="1:14" x14ac:dyDescent="0.3">
      <c r="A34" s="36" t="s">
        <v>2</v>
      </c>
      <c r="B34" s="36">
        <f t="shared" ref="B34:B39" si="2">IF(AND(K7&lt;0.0000001,K7&gt;-0.0000001),0,K7)</f>
        <v>2.1788804288468899</v>
      </c>
      <c r="C34" s="36">
        <f t="shared" ref="C34:C39" si="3">L7</f>
        <v>24.905007661749199</v>
      </c>
      <c r="D34" s="37"/>
      <c r="E34" s="37"/>
      <c r="F34" s="37"/>
      <c r="G34" s="37"/>
      <c r="H34" s="37"/>
      <c r="I34" s="37"/>
      <c r="J34" s="37"/>
      <c r="K34" s="37"/>
      <c r="L34" s="37"/>
      <c r="M34" s="26"/>
      <c r="N34" s="26"/>
    </row>
    <row r="35" spans="1:14" x14ac:dyDescent="0.3">
      <c r="A35" s="36" t="s">
        <v>3</v>
      </c>
      <c r="B35" s="36">
        <f t="shared" si="2"/>
        <v>-12.728402934563</v>
      </c>
      <c r="C35" s="36">
        <f t="shared" si="3"/>
        <v>-12.7279022928355</v>
      </c>
      <c r="D35" s="37"/>
      <c r="E35" s="37"/>
      <c r="F35" s="37"/>
      <c r="G35" s="37"/>
      <c r="H35" s="37"/>
      <c r="I35" s="37"/>
      <c r="J35" s="37"/>
      <c r="K35" s="37"/>
      <c r="L35" s="37"/>
      <c r="M35" s="26"/>
      <c r="N35" s="26"/>
    </row>
    <row r="36" spans="1:14" x14ac:dyDescent="0.3">
      <c r="A36" s="36" t="s">
        <v>4</v>
      </c>
      <c r="B36" s="36">
        <f t="shared" si="2"/>
        <v>-16.382314535467401</v>
      </c>
      <c r="C36" s="36">
        <f t="shared" si="3"/>
        <v>11.4714344292882</v>
      </c>
      <c r="D36" s="37"/>
      <c r="E36" s="37"/>
      <c r="F36" s="37"/>
      <c r="G36" s="37"/>
      <c r="H36" s="37"/>
      <c r="I36" s="37"/>
      <c r="J36" s="37"/>
      <c r="K36" s="37"/>
      <c r="L36" s="37"/>
      <c r="M36" s="26"/>
      <c r="N36" s="26"/>
    </row>
    <row r="37" spans="1:14" x14ac:dyDescent="0.3">
      <c r="A37" s="36" t="s">
        <v>5</v>
      </c>
      <c r="B37" s="36">
        <f t="shared" si="2"/>
        <v>-1.4076670640769</v>
      </c>
      <c r="C37" s="36">
        <f t="shared" si="3"/>
        <v>7.4562871079856601</v>
      </c>
      <c r="D37" s="37"/>
      <c r="E37" s="37"/>
      <c r="F37" s="37"/>
      <c r="G37" s="37"/>
      <c r="H37" s="37"/>
      <c r="I37" s="37"/>
      <c r="J37" s="37"/>
      <c r="K37" s="37"/>
      <c r="L37" s="37"/>
      <c r="M37" s="26"/>
      <c r="N37" s="26"/>
    </row>
    <row r="38" spans="1:14" x14ac:dyDescent="0.3">
      <c r="A38" s="36" t="s">
        <v>6</v>
      </c>
      <c r="B38" s="36">
        <f t="shared" si="2"/>
        <v>-8.9772790137278093</v>
      </c>
      <c r="C38" s="36">
        <f t="shared" si="3"/>
        <v>7.8828465994006303</v>
      </c>
      <c r="D38" s="37"/>
      <c r="E38" s="37"/>
      <c r="F38" s="37"/>
      <c r="G38" s="37"/>
      <c r="H38" s="37"/>
      <c r="I38" s="37"/>
      <c r="J38" s="37"/>
      <c r="K38" s="37"/>
      <c r="L38" s="37"/>
      <c r="M38" s="26"/>
      <c r="N38" s="26"/>
    </row>
    <row r="39" spans="1:14" x14ac:dyDescent="0.3">
      <c r="A39" s="36" t="s">
        <v>7</v>
      </c>
      <c r="B39" s="36">
        <f t="shared" si="2"/>
        <v>12.5638265066516</v>
      </c>
      <c r="C39" s="36">
        <f t="shared" si="3"/>
        <v>9.5658739543628908</v>
      </c>
      <c r="D39" s="26"/>
      <c r="E39" s="37"/>
      <c r="F39" s="37"/>
      <c r="G39" s="37"/>
      <c r="H39" s="37"/>
      <c r="I39" s="37"/>
      <c r="J39" s="37"/>
      <c r="K39" s="37"/>
      <c r="L39" s="37"/>
      <c r="M39" s="26"/>
      <c r="N39" s="26"/>
    </row>
    <row r="40" spans="1:14" x14ac:dyDescent="0.3">
      <c r="A40" s="1"/>
      <c r="B40" s="36"/>
      <c r="C40" s="36"/>
      <c r="D40" s="26"/>
      <c r="E40" s="37"/>
      <c r="F40" s="37"/>
      <c r="G40" s="37"/>
      <c r="H40" s="37"/>
      <c r="I40" s="37"/>
      <c r="J40" s="37"/>
      <c r="K40" s="37"/>
      <c r="L40" s="37"/>
      <c r="M40" s="26"/>
      <c r="N40" s="26"/>
    </row>
    <row r="41" spans="1:14" x14ac:dyDescent="0.3">
      <c r="A41" s="1"/>
      <c r="B41" s="1"/>
      <c r="C41" s="1"/>
      <c r="E41" s="2"/>
      <c r="F41" s="2"/>
      <c r="G41" s="2"/>
      <c r="H41" s="2"/>
      <c r="I41" s="2"/>
      <c r="J41" s="2"/>
      <c r="K41" s="2"/>
      <c r="L41" s="2"/>
    </row>
    <row r="42" spans="1:14" x14ac:dyDescent="0.3">
      <c r="A42" s="2"/>
      <c r="E42" s="2"/>
      <c r="F42" s="2"/>
      <c r="G42" s="2"/>
      <c r="H42" s="2"/>
      <c r="I42" s="2"/>
      <c r="J42" s="2"/>
      <c r="K42" s="2"/>
      <c r="L42" s="2"/>
    </row>
    <row r="43" spans="1:14" x14ac:dyDescent="0.3">
      <c r="A43" s="2"/>
      <c r="E43" s="2"/>
      <c r="F43" s="2"/>
      <c r="G43" s="2"/>
      <c r="H43" s="2"/>
      <c r="I43" s="2"/>
      <c r="J43" s="2"/>
      <c r="K43" s="2"/>
      <c r="L43" s="2"/>
    </row>
    <row r="44" spans="1:14" x14ac:dyDescent="0.3">
      <c r="A44" s="2"/>
      <c r="E44" s="2"/>
      <c r="F44" s="2"/>
      <c r="G44" s="2"/>
      <c r="H44" s="2"/>
      <c r="I44" s="2"/>
      <c r="J44" s="2"/>
      <c r="K44" s="2"/>
      <c r="L44" s="2"/>
    </row>
    <row r="45" spans="1:14" x14ac:dyDescent="0.3">
      <c r="A45" s="2"/>
      <c r="E45" s="2"/>
      <c r="F45" s="2"/>
      <c r="G45" s="2"/>
      <c r="H45" s="2"/>
      <c r="I45" s="2"/>
      <c r="J45" s="2"/>
      <c r="K45" s="2"/>
      <c r="L45" s="2"/>
    </row>
    <row r="46" spans="1:14" x14ac:dyDescent="0.3">
      <c r="A46" s="2"/>
      <c r="B46" s="2"/>
      <c r="C46" s="2"/>
      <c r="D46" s="2"/>
      <c r="E46" s="2"/>
      <c r="F46" s="2"/>
      <c r="G46" s="2"/>
      <c r="H46" s="2"/>
      <c r="I46" s="2"/>
      <c r="J46" s="2"/>
      <c r="K46" s="2"/>
      <c r="L46" s="2"/>
    </row>
    <row r="47" spans="1:14" x14ac:dyDescent="0.3">
      <c r="A47" s="2"/>
      <c r="B47" s="2"/>
      <c r="C47" s="2"/>
      <c r="D47" s="2"/>
      <c r="E47" s="2"/>
      <c r="F47" s="2"/>
      <c r="G47" s="2"/>
      <c r="H47" s="2"/>
      <c r="I47" s="2"/>
      <c r="J47" s="2"/>
      <c r="K47" s="2"/>
      <c r="L47" s="2"/>
    </row>
    <row r="48" spans="1:14" x14ac:dyDescent="0.3">
      <c r="A48" s="2"/>
      <c r="B48" s="2"/>
      <c r="C48" s="2"/>
      <c r="D48" s="2"/>
      <c r="E48" s="2"/>
      <c r="F48" s="2"/>
      <c r="G48" s="2"/>
      <c r="H48" s="2"/>
      <c r="I48" s="2"/>
      <c r="J48" s="2"/>
      <c r="K48" s="2"/>
      <c r="L48" s="2"/>
    </row>
    <row r="49" spans="1:12" x14ac:dyDescent="0.3">
      <c r="A49" s="2"/>
      <c r="B49" s="2"/>
      <c r="C49" s="2"/>
      <c r="D49" s="2"/>
      <c r="E49" s="2"/>
      <c r="F49" s="2"/>
      <c r="G49" s="2"/>
      <c r="H49" s="2"/>
      <c r="I49" s="2"/>
      <c r="J49" s="2"/>
      <c r="K49" s="2"/>
      <c r="L49" s="2"/>
    </row>
    <row r="50" spans="1:12" x14ac:dyDescent="0.3">
      <c r="A50" s="2"/>
      <c r="B50" s="2"/>
      <c r="C50" s="2"/>
      <c r="D50" s="2"/>
      <c r="E50" s="2"/>
      <c r="F50" s="2"/>
      <c r="G50" s="2"/>
      <c r="H50" s="2"/>
      <c r="I50" s="2"/>
      <c r="J50" s="2"/>
      <c r="K50" s="2"/>
      <c r="L50" s="2"/>
    </row>
    <row r="51" spans="1:12" x14ac:dyDescent="0.3">
      <c r="A51" s="2"/>
      <c r="B51" s="2"/>
      <c r="C51" s="2"/>
      <c r="D51" s="2"/>
      <c r="E51" s="2"/>
      <c r="F51" s="2"/>
      <c r="G51" s="2"/>
      <c r="H51" s="2"/>
      <c r="I51" s="2"/>
      <c r="J51" s="2"/>
      <c r="K51" s="2"/>
      <c r="L51" s="2"/>
    </row>
  </sheetData>
  <sheetProtection password="CD9A" sheet="1" objects="1" scenarios="1" selectLockedCells="1"/>
  <mergeCells count="4">
    <mergeCell ref="B4:D5"/>
    <mergeCell ref="F4:H5"/>
    <mergeCell ref="J4:L5"/>
    <mergeCell ref="K2:L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Option Button 5">
              <controlPr locked="0" defaultSize="0" autoFill="0" autoLine="0" autoPict="0">
                <anchor moveWithCells="1">
                  <from>
                    <xdr:col>1</xdr:col>
                    <xdr:colOff>53340</xdr:colOff>
                    <xdr:row>13</xdr:row>
                    <xdr:rowOff>68580</xdr:rowOff>
                  </from>
                  <to>
                    <xdr:col>1</xdr:col>
                    <xdr:colOff>297180</xdr:colOff>
                    <xdr:row>14</xdr:row>
                    <xdr:rowOff>91440</xdr:rowOff>
                  </to>
                </anchor>
              </controlPr>
            </control>
          </mc:Choice>
        </mc:AlternateContent>
        <mc:AlternateContent xmlns:mc="http://schemas.openxmlformats.org/markup-compatibility/2006">
          <mc:Choice Requires="x14">
            <control shapeId="2054" r:id="rId5" name="Option Button 6">
              <controlPr locked="0" defaultSize="0" autoFill="0" autoLine="0" autoPict="0">
                <anchor moveWithCells="1">
                  <from>
                    <xdr:col>2</xdr:col>
                    <xdr:colOff>22860</xdr:colOff>
                    <xdr:row>13</xdr:row>
                    <xdr:rowOff>68580</xdr:rowOff>
                  </from>
                  <to>
                    <xdr:col>2</xdr:col>
                    <xdr:colOff>266700</xdr:colOff>
                    <xdr:row>14</xdr:row>
                    <xdr:rowOff>91440</xdr:rowOff>
                  </to>
                </anchor>
              </controlPr>
            </control>
          </mc:Choice>
        </mc:AlternateContent>
        <mc:AlternateContent xmlns:mc="http://schemas.openxmlformats.org/markup-compatibility/2006">
          <mc:Choice Requires="x14">
            <control shapeId="2055" r:id="rId6" name="Option Button 7">
              <controlPr locked="0" defaultSize="0" autoFill="0" autoLine="0" autoPict="0">
                <anchor moveWithCells="1">
                  <from>
                    <xdr:col>2</xdr:col>
                    <xdr:colOff>327660</xdr:colOff>
                    <xdr:row>13</xdr:row>
                    <xdr:rowOff>68580</xdr:rowOff>
                  </from>
                  <to>
                    <xdr:col>2</xdr:col>
                    <xdr:colOff>571500</xdr:colOff>
                    <xdr:row>14</xdr:row>
                    <xdr:rowOff>91440</xdr:rowOff>
                  </to>
                </anchor>
              </controlPr>
            </control>
          </mc:Choice>
        </mc:AlternateContent>
        <mc:AlternateContent xmlns:mc="http://schemas.openxmlformats.org/markup-compatibility/2006">
          <mc:Choice Requires="x14">
            <control shapeId="2056" r:id="rId7" name="Group Box 8">
              <controlPr locked="0" defaultSize="0" autoFill="0" autoPict="0">
                <anchor moveWithCells="1">
                  <from>
                    <xdr:col>1</xdr:col>
                    <xdr:colOff>0</xdr:colOff>
                    <xdr:row>13</xdr:row>
                    <xdr:rowOff>7620</xdr:rowOff>
                  </from>
                  <to>
                    <xdr:col>3</xdr:col>
                    <xdr:colOff>0</xdr:colOff>
                    <xdr:row>15</xdr:row>
                    <xdr:rowOff>0</xdr:rowOff>
                  </to>
                </anchor>
              </controlPr>
            </control>
          </mc:Choice>
        </mc:AlternateContent>
        <mc:AlternateContent xmlns:mc="http://schemas.openxmlformats.org/markup-compatibility/2006">
          <mc:Choice Requires="x14">
            <control shapeId="2057" r:id="rId8" name="Option Button 9">
              <controlPr locked="0" defaultSize="0" autoFill="0" autoLine="0" autoPict="0">
                <anchor moveWithCells="1">
                  <from>
                    <xdr:col>1</xdr:col>
                    <xdr:colOff>114300</xdr:colOff>
                    <xdr:row>10</xdr:row>
                    <xdr:rowOff>83820</xdr:rowOff>
                  </from>
                  <to>
                    <xdr:col>2</xdr:col>
                    <xdr:colOff>106680</xdr:colOff>
                    <xdr:row>11</xdr:row>
                    <xdr:rowOff>106680</xdr:rowOff>
                  </to>
                </anchor>
              </controlPr>
            </control>
          </mc:Choice>
        </mc:AlternateContent>
        <mc:AlternateContent xmlns:mc="http://schemas.openxmlformats.org/markup-compatibility/2006">
          <mc:Choice Requires="x14">
            <control shapeId="2058" r:id="rId9" name="Option Button 10">
              <controlPr locked="0" defaultSize="0" autoFill="0" autoLine="0" autoPict="0">
                <anchor moveWithCells="1">
                  <from>
                    <xdr:col>2</xdr:col>
                    <xdr:colOff>228600</xdr:colOff>
                    <xdr:row>10</xdr:row>
                    <xdr:rowOff>83820</xdr:rowOff>
                  </from>
                  <to>
                    <xdr:col>2</xdr:col>
                    <xdr:colOff>563880</xdr:colOff>
                    <xdr:row>11</xdr:row>
                    <xdr:rowOff>106680</xdr:rowOff>
                  </to>
                </anchor>
              </controlPr>
            </control>
          </mc:Choice>
        </mc:AlternateContent>
        <mc:AlternateContent xmlns:mc="http://schemas.openxmlformats.org/markup-compatibility/2006">
          <mc:Choice Requires="x14">
            <control shapeId="2059" r:id="rId10" name="Group Box 11">
              <controlPr locked="0" defaultSize="0" autoFill="0" autoPict="0">
                <anchor moveWithCells="1">
                  <from>
                    <xdr:col>1</xdr:col>
                    <xdr:colOff>0</xdr:colOff>
                    <xdr:row>10</xdr:row>
                    <xdr:rowOff>0</xdr:rowOff>
                  </from>
                  <to>
                    <xdr:col>3</xdr:col>
                    <xdr:colOff>0</xdr:colOff>
                    <xdr:row>12</xdr:row>
                    <xdr:rowOff>7620</xdr:rowOff>
                  </to>
                </anchor>
              </controlPr>
            </control>
          </mc:Choice>
        </mc:AlternateContent>
        <mc:AlternateContent xmlns:mc="http://schemas.openxmlformats.org/markup-compatibility/2006">
          <mc:Choice Requires="x14">
            <control shapeId="2060" r:id="rId11" name="Group Box 12">
              <controlPr defaultSize="0" autoFill="0" autoPict="0">
                <anchor moveWithCells="1">
                  <from>
                    <xdr:col>1</xdr:col>
                    <xdr:colOff>7620</xdr:colOff>
                    <xdr:row>16</xdr:row>
                    <xdr:rowOff>0</xdr:rowOff>
                  </from>
                  <to>
                    <xdr:col>2</xdr:col>
                    <xdr:colOff>632460</xdr:colOff>
                    <xdr:row>18</xdr:row>
                    <xdr:rowOff>0</xdr:rowOff>
                  </to>
                </anchor>
              </controlPr>
            </control>
          </mc:Choice>
        </mc:AlternateContent>
        <mc:AlternateContent xmlns:mc="http://schemas.openxmlformats.org/markup-compatibility/2006">
          <mc:Choice Requires="x14">
            <control shapeId="2061" r:id="rId12" name="Option Button 13">
              <controlPr defaultSize="0" autoFill="0" autoLine="0" autoPict="0">
                <anchor moveWithCells="1">
                  <from>
                    <xdr:col>1</xdr:col>
                    <xdr:colOff>152400</xdr:colOff>
                    <xdr:row>16</xdr:row>
                    <xdr:rowOff>68580</xdr:rowOff>
                  </from>
                  <to>
                    <xdr:col>2</xdr:col>
                    <xdr:colOff>91440</xdr:colOff>
                    <xdr:row>17</xdr:row>
                    <xdr:rowOff>91440</xdr:rowOff>
                  </to>
                </anchor>
              </controlPr>
            </control>
          </mc:Choice>
        </mc:AlternateContent>
        <mc:AlternateContent xmlns:mc="http://schemas.openxmlformats.org/markup-compatibility/2006">
          <mc:Choice Requires="x14">
            <control shapeId="2062" r:id="rId13" name="Option Button 14">
              <controlPr defaultSize="0" autoFill="0" autoLine="0" autoPict="0">
                <anchor moveWithCells="1">
                  <from>
                    <xdr:col>2</xdr:col>
                    <xdr:colOff>236220</xdr:colOff>
                    <xdr:row>16</xdr:row>
                    <xdr:rowOff>68580</xdr:rowOff>
                  </from>
                  <to>
                    <xdr:col>2</xdr:col>
                    <xdr:colOff>480060</xdr:colOff>
                    <xdr:row>17</xdr:row>
                    <xdr:rowOff>99060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3:H15"/>
  <sheetViews>
    <sheetView workbookViewId="0">
      <selection activeCell="C8" sqref="C8"/>
    </sheetView>
  </sheetViews>
  <sheetFormatPr defaultRowHeight="14.4" x14ac:dyDescent="0.3"/>
  <sheetData>
    <row r="3" spans="3:8" x14ac:dyDescent="0.3">
      <c r="C3" s="2"/>
      <c r="D3" s="2"/>
      <c r="E3" s="2"/>
      <c r="F3" s="2"/>
      <c r="G3" s="2"/>
      <c r="H3" s="2"/>
    </row>
    <row r="4" spans="3:8" x14ac:dyDescent="0.3">
      <c r="C4" s="2"/>
      <c r="D4" s="2"/>
      <c r="E4" s="2"/>
      <c r="F4" s="2"/>
      <c r="G4" s="2"/>
      <c r="H4" s="2"/>
    </row>
    <row r="5" spans="3:8" x14ac:dyDescent="0.3">
      <c r="C5" t="s">
        <v>29</v>
      </c>
      <c r="D5" s="17">
        <v>1</v>
      </c>
      <c r="E5" s="2"/>
      <c r="F5" s="17">
        <v>1</v>
      </c>
      <c r="G5" s="2"/>
      <c r="H5" s="2"/>
    </row>
    <row r="6" spans="3:8" x14ac:dyDescent="0.3">
      <c r="C6" t="s">
        <v>30</v>
      </c>
      <c r="D6" s="17">
        <v>1</v>
      </c>
      <c r="E6" s="2"/>
      <c r="F6" s="17">
        <v>1</v>
      </c>
      <c r="G6" s="2"/>
      <c r="H6" s="2"/>
    </row>
    <row r="7" spans="3:8" x14ac:dyDescent="0.3">
      <c r="C7" t="s">
        <v>31</v>
      </c>
      <c r="D7" s="18">
        <v>2</v>
      </c>
      <c r="E7" s="2"/>
      <c r="F7" s="2">
        <v>2</v>
      </c>
      <c r="G7" s="2"/>
      <c r="H7" s="2"/>
    </row>
    <row r="8" spans="3:8" x14ac:dyDescent="0.3">
      <c r="C8" s="2"/>
      <c r="D8" s="2"/>
      <c r="E8" s="2"/>
      <c r="F8" s="2"/>
      <c r="G8" s="2"/>
      <c r="H8" s="2"/>
    </row>
    <row r="9" spans="3:8" x14ac:dyDescent="0.3">
      <c r="C9" s="2"/>
      <c r="D9" s="2"/>
      <c r="E9" s="2"/>
      <c r="F9" s="2"/>
      <c r="G9" s="2"/>
      <c r="H9" s="2"/>
    </row>
    <row r="10" spans="3:8" x14ac:dyDescent="0.3">
      <c r="C10" s="2"/>
      <c r="D10" s="2"/>
      <c r="E10" s="2"/>
      <c r="F10" s="2"/>
      <c r="G10" s="2"/>
      <c r="H10" s="2"/>
    </row>
    <row r="11" spans="3:8" x14ac:dyDescent="0.3">
      <c r="C11" s="2"/>
      <c r="D11" s="2"/>
      <c r="E11" s="2"/>
      <c r="F11" s="2"/>
      <c r="G11" s="2"/>
      <c r="H11" s="2"/>
    </row>
    <row r="12" spans="3:8" x14ac:dyDescent="0.3">
      <c r="C12" s="2"/>
      <c r="D12" s="2"/>
      <c r="E12" s="2"/>
      <c r="F12" s="2"/>
      <c r="G12" s="2"/>
      <c r="H12" s="2"/>
    </row>
    <row r="13" spans="3:8" x14ac:dyDescent="0.3">
      <c r="C13" s="2"/>
      <c r="D13" s="2"/>
      <c r="E13" s="2"/>
      <c r="F13" s="2"/>
      <c r="G13" s="2"/>
      <c r="H13" s="2"/>
    </row>
    <row r="14" spans="3:8" x14ac:dyDescent="0.3">
      <c r="C14" s="2"/>
      <c r="D14" s="2"/>
      <c r="E14" s="2"/>
      <c r="F14" s="2"/>
      <c r="G14" s="2"/>
      <c r="H14" s="2"/>
    </row>
    <row r="15" spans="3:8" x14ac:dyDescent="0.3">
      <c r="C15" s="2"/>
      <c r="D15" s="2"/>
      <c r="E15" s="2"/>
      <c r="F15" s="2"/>
      <c r="G15" s="2"/>
      <c r="H15" s="2"/>
    </row>
  </sheetData>
  <sheetProtection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Phase to Symm Comp</vt:lpstr>
      <vt:lpstr>Symm Comp to Phase</vt:lpstr>
      <vt:lpstr>Sheet3</vt:lpstr>
    </vt:vector>
  </TitlesOfParts>
  <Company>Schweitzer Engineering Laboratories,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Alexandro Rangel Werdene</dc:creator>
  <cp:lastModifiedBy>Randy Amor</cp:lastModifiedBy>
  <dcterms:created xsi:type="dcterms:W3CDTF">2010-08-05T14:24:27Z</dcterms:created>
  <dcterms:modified xsi:type="dcterms:W3CDTF">2022-07-03T16:14:33Z</dcterms:modified>
</cp:coreProperties>
</file>